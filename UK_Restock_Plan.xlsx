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UK Restock Plan" sheetId="2" state="visible" r:id="rId4"/>
    <sheet name="PO Follow-Ups" sheetId="3" state="visible" r:id="rId5"/>
    <sheet name="Purchase Orders" sheetId="4" state="visible" r:id="rId6"/>
    <sheet name="Inventory &amp; Coverage" sheetId="5" state="visible" r:id="rId7"/>
    <sheet name="Reference Data"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<sst xmlns="http://schemas.openxmlformats.org/spreadsheetml/2006/main" count="324" uniqueCount="207">
  <si>
    <t xml:space="preserve">UK Restock Plan — Summary</t>
  </si>
  <si>
    <t xml:space="preserve">Extracted from the Supply Chain Tracker. All figures are calculated live from the sheets in this workbook.</t>
  </si>
  <si>
    <t xml:space="preserve">Key Alerts</t>
  </si>
  <si>
    <t xml:space="preserve">UK Launch Readiness</t>
  </si>
  <si>
    <t xml:space="preserve">UK Launch Date</t>
  </si>
  <si>
    <t xml:space="preserve">Weeks Until Launch</t>
  </si>
  <si>
    <t xml:space="preserve">Retail Partner Stocking Qty Entered (Units)</t>
  </si>
  <si>
    <t xml:space="preserve">Total UK Restock Units Needed</t>
  </si>
  <si>
    <t xml:space="preserve">SKUs On Track (Sea Freight)</t>
  </si>
  <si>
    <t xml:space="preserve">SKUs Needing Expedited Air</t>
  </si>
  <si>
    <t xml:space="preserve">SKUs Critical — May Miss Launch</t>
  </si>
  <si>
    <t xml:space="preserve">Open POs Needing Follow-Up</t>
  </si>
  <si>
    <t xml:space="preserve">Notes &amp; Assumptions</t>
  </si>
  <si>
    <t xml:space="preserve">• This is a standalone extract of the UK Restock Plan and PO Follow-Ups from the Supply Chain Tracker workbook, with the supporting Purchase Orders, Inventory &amp; Coverage, and Reference Data carried along so every formula still resolves independently of that file.</t>
  </si>
  <si>
    <t xml:space="preserve">• See the UK Restock Plan tab to edit the Launch Date / Target Weeks of Cover assumptions — this Summary and every dependent formula recalculates from there.</t>
  </si>
  <si>
    <t xml:space="preserve">• Get the initial stocking order quantities from the 3 new UK retail partners and enter them per SKU in UK Restock Plan column K as soon as they're known — until then, every recommended order quantity on this sheet reflects DTC demand only.</t>
  </si>
  <si>
    <t xml:space="preserve">UK Restock Plan</t>
  </si>
  <si>
    <t xml:space="preserve">Launch Assumptions (editable):</t>
  </si>
  <si>
    <t xml:space="preserve">3 new UK retail partners launch in 6 weeks (from 2026-08-10) — edit if the date shifts</t>
  </si>
  <si>
    <t xml:space="preserve">Target Weeks of Cover at Launch</t>
  </si>
  <si>
    <t xml:space="preserve">EDIT ME — desired DTC buffer of stock at launch (retail partner stocking is separate, see column K below)</t>
  </si>
  <si>
    <t xml:space="preserve">New UK Retail Partners Launching</t>
  </si>
  <si>
    <t xml:space="preserve">Informational — their per-SKU opening stocking orders go in column K (Retail Partner Launch Stocking Qty) once known</t>
  </si>
  <si>
    <t xml:space="preserve">Today's Date (reference)</t>
  </si>
  <si>
    <t xml:space="preserve">SKU</t>
  </si>
  <si>
    <t xml:space="preserve">Product</t>
  </si>
  <si>
    <t xml:space="preserve">Factory</t>
  </si>
  <si>
    <t xml:space="preserve">Factory
City</t>
  </si>
  <si>
    <t xml:space="preserve">UK On-Hand
Qty</t>
  </si>
  <si>
    <t xml:space="preserve">Weekly Sell-
Through Rate
(DTC only)</t>
  </si>
  <si>
    <t xml:space="preserve">Open PO Qty
to UK</t>
  </si>
  <si>
    <t xml:space="preserve">Current UK
Weeks of Cover</t>
  </si>
  <si>
    <t xml:space="preserve">Current UK
Stockout Risk</t>
  </si>
  <si>
    <t xml:space="preserve">Projected UK
On-Hand at Launch</t>
  </si>
  <si>
    <t xml:space="preserve">Retail Partner
Launch Stocking
Qty (Units)</t>
  </si>
  <si>
    <t xml:space="preserve">Target Qty
at Launch</t>
  </si>
  <si>
    <t xml:space="preserve">Order Qty
Needed (Pre-MOQ)</t>
  </si>
  <si>
    <t xml:space="preserve">Factory MOQ
(Units)</t>
  </si>
  <si>
    <t xml:space="preserve">Recommended
Order Qty</t>
  </si>
  <si>
    <t xml:space="preserve">Production
Lead Time (Wks)</t>
  </si>
  <si>
    <t xml:space="preserve">Sea Transit
to UK (Wks)</t>
  </si>
  <si>
    <t xml:space="preserve">Air Transit
to UK (Wks)</t>
  </si>
  <si>
    <t xml:space="preserve">Total Lead
Time — Sea</t>
  </si>
  <si>
    <t xml:space="preserve">Total Lead
Time — Air</t>
  </si>
  <si>
    <t xml:space="preserve">Recommended
Ship Method</t>
  </si>
  <si>
    <t xml:space="preserve">Order-By
Date</t>
  </si>
  <si>
    <t xml:space="preserve">Launch
Readiness</t>
  </si>
  <si>
    <t xml:space="preserve">TOTAL</t>
  </si>
  <si>
    <t xml:space="preserve">• SKU, Product, Factory, and current UK inventory/coverage figures are linked live from Inventory &amp; Coverage — this sheet has no re-entered source data.</t>
  </si>
  <si>
    <t xml:space="preserve">• IMPORTANT GAP: Weekly Sell-Through Rate (column F) is the DTC-only rate from the source data. It does not include demand from the 3 new UK retail partners. Column K (Retail Partner Launch Stocking Qty) is where their opening stocking orders should be entered per SKU once known — it currently defaults to 0, so Target Qty at Launch and every recommendation to its right currently reflect DTC demand ONLY and likely understate what's actually needed for launch.</t>
  </si>
  <si>
    <t xml:space="preserve">• Projected UK On-Hand at Launch assumes steady depletion at the current (DTC-only) Weekly Sell-Through Rate between today and the Launch Date, plus any PO quantity already open to UK (column G) landing before launch. It does not assume the newly recommended order below arrives in time — that is what the lead-time/readiness columns to the right test.</t>
  </si>
  <si>
    <t xml:space="preserve">• Recommended Order Qty rounds the pre-MOQ need up to the factory's MOQ (a partial-MOQ need still requires ordering a full MOQ batch).</t>
  </si>
  <si>
    <t xml:space="preserve">• Recommended Ship Method / Launch Readiness compare each lead-time option (Production Lead Time + Sea or Air transit to UK) against Weeks Until Launch: Sea if it fits, Air if only Air fits, otherwise flagged Critical even with Air.</t>
  </si>
  <si>
    <t xml:space="preserve">• Order-By Date = Launch Date minus the recommended method's total lead time. If this date is already in the past, that order is overdue and should be placed immediately.</t>
  </si>
  <si>
    <t xml:space="preserve">• Change the Launch Date, Target Weeks of Cover, or any Retail Partner Launch Stocking Qty and every recommendation on this sheet recalculates.</t>
  </si>
  <si>
    <t xml:space="preserve">PO Follow-Ups</t>
  </si>
  <si>
    <t xml:space="preserve">All fields link live from Purchase Orders / Inventory &amp; Coverage — no PO data is re-entered here.</t>
  </si>
  <si>
    <t xml:space="preserve">PO #</t>
  </si>
  <si>
    <t xml:space="preserve">Qty</t>
  </si>
  <si>
    <t xml:space="preserve">Status</t>
  </si>
  <si>
    <t xml:space="preserve">PO Risk
Flag</t>
  </si>
  <si>
    <t xml:space="preserve">Destination
Warehouse</t>
  </si>
  <si>
    <t xml:space="preserve">Affects UK
Restock?</t>
  </si>
  <si>
    <t xml:space="preserve">Follow-Up
Needed?</t>
  </si>
  <si>
    <t xml:space="preserve">Recommended Action</t>
  </si>
  <si>
    <t xml:space="preserve">Priority</t>
  </si>
  <si>
    <t xml:space="preserve">• Every PO is listed (not just flagged ones) so the sheet reflects the full open-PO picture; use the Follow-Up Needed and Priority columns to triage.</t>
  </si>
  <si>
    <t xml:space="preserve">• Affects UK Restock? flags Yes when the PO's SKU currently shows High UK stockout risk on Inventory &amp; Coverage — i.e. this factory's output matters for the UK launch even though the PO itself may not ship to UK.</t>
  </si>
  <si>
    <t xml:space="preserve">• Priority is 'Urgent — UK Launch Impact' when a non-Low-Risk PO involves a UK-critical SKU, since resolving it protects the UK launch specifically.</t>
  </si>
  <si>
    <t xml:space="preserve">• Recommended Action is derived from keywords in the Status text and recalculates automatically if a PO's status is updated.</t>
  </si>
  <si>
    <t xml:space="preserve">Purchase Orders</t>
  </si>
  <si>
    <t xml:space="preserve">Blue text = source input data entered from PO records. Black text = formulas (do not overwrite).</t>
  </si>
  <si>
    <t xml:space="preserve">Ship
Method</t>
  </si>
  <si>
    <t xml:space="preserve">Stated ETA Notes</t>
  </si>
  <si>
    <t xml:space="preserve">Stated ETA
(Weeks)</t>
  </si>
  <si>
    <t xml:space="preserve">Ref. Sea
Transit (Wks)</t>
  </si>
  <si>
    <t xml:space="preserve">Ref. Air
Transit (Wks)</t>
  </si>
  <si>
    <t xml:space="preserve">Applicable Ref.
Transit (Wks)</t>
  </si>
  <si>
    <t xml:space="preserve">PO Risk Flag</t>
  </si>
  <si>
    <t xml:space="preserve">Ships to UK
Warehouse?</t>
  </si>
  <si>
    <t xml:space="preserve">PO-410</t>
  </si>
  <si>
    <t xml:space="preserve">Factory A</t>
  </si>
  <si>
    <t xml:space="preserve">HN-RB-300</t>
  </si>
  <si>
    <t xml:space="preserve">In production — on track</t>
  </si>
  <si>
    <t xml:space="preserve">HK</t>
  </si>
  <si>
    <t xml:space="preserve">Sea</t>
  </si>
  <si>
    <t xml:space="preserve">Ships to HK, ETA 3.5 weeks</t>
  </si>
  <si>
    <t xml:space="preserve">PO-411</t>
  </si>
  <si>
    <t xml:space="preserve">HN-NC-075</t>
  </si>
  <si>
    <t xml:space="preserve">US</t>
  </si>
  <si>
    <t xml:space="preserve">Ships to LA, ETA 4 weeks</t>
  </si>
  <si>
    <t xml:space="preserve">PO-412</t>
  </si>
  <si>
    <t xml:space="preserve">Factory C</t>
  </si>
  <si>
    <t xml:space="preserve">HN-HM-100</t>
  </si>
  <si>
    <t xml:space="preserve">Production delayed — raw material shortage</t>
  </si>
  <si>
    <t xml:space="preserve">Unknown</t>
  </si>
  <si>
    <t xml:space="preserve">Originally ETA 3 weeks, now unknown</t>
  </si>
  <si>
    <t xml:space="preserve">PO-413</t>
  </si>
  <si>
    <t xml:space="preserve">Factory D</t>
  </si>
  <si>
    <t xml:space="preserve">HN-LB-250</t>
  </si>
  <si>
    <t xml:space="preserve">Completed — ready for pickup</t>
  </si>
  <si>
    <t xml:space="preserve">Awaiting shipping instructions</t>
  </si>
  <si>
    <t xml:space="preserve">PO-414</t>
  </si>
  <si>
    <t xml:space="preserve">Factory E</t>
  </si>
  <si>
    <t xml:space="preserve">HN-EO-030</t>
  </si>
  <si>
    <t xml:space="preserve">Unconfirmed — awaiting factory response (4 days)</t>
  </si>
  <si>
    <t xml:space="preserve">PO-415</t>
  </si>
  <si>
    <t xml:space="preserve">Factory F</t>
  </si>
  <si>
    <t xml:space="preserve">HN-BC-400</t>
  </si>
  <si>
    <t xml:space="preserve">Ships to LA, ETA 6 weeks (sea)</t>
  </si>
  <si>
    <t xml:space="preserve">• Destination Warehouse and Ship Method are extracted from each PO's status/ETA notes as provided; recorded as 'Unknown' where the source did not specify a destination or method yet.</t>
  </si>
  <si>
    <t xml:space="preserve">• Ship Method is assumed 'Sea' where not explicitly stated but the ETA is multi-week in scale (consistent with sea freight lead times in Reference Data); PO-415 explicitly stated '(sea)'.</t>
  </si>
  <si>
    <t xml:space="preserve">• PO Risk Flag is a formula that searches the Status text for keywords ("delayed", "Unconfirmed", "Completed", "on track") — edit the Status text and the flag recalculates automatically.</t>
  </si>
  <si>
    <t xml:space="preserve">• Reference Sea/Air Transit columns are pulled live from the Reference Data Shipping Lead Times table via the Factory City + Destination Warehouse route — they show the typical transit time for that lane, for comparison against the Stated ETA.</t>
  </si>
  <si>
    <t xml:space="preserve">Inventory &amp; Coverage</t>
  </si>
  <si>
    <t xml:space="preserve">Stockout Risk Thresholds (editable assumptions):</t>
  </si>
  <si>
    <t xml:space="preserve">High Risk if Weeks of Cover &lt;</t>
  </si>
  <si>
    <t xml:space="preserve">Medium Risk if Weeks of Cover &lt;</t>
  </si>
  <si>
    <t xml:space="preserve">(Low Risk otherwise)</t>
  </si>
  <si>
    <t xml:space="preserve">Category</t>
  </si>
  <si>
    <t xml:space="preserve">Primary
Factory</t>
  </si>
  <si>
    <t xml:space="preserve">US (LA)
Qty</t>
  </si>
  <si>
    <t xml:space="preserve">UK (Manchester)
Qty</t>
  </si>
  <si>
    <t xml:space="preserve">HK
Qty</t>
  </si>
  <si>
    <t xml:space="preserve">Total
Qty</t>
  </si>
  <si>
    <t xml:space="preserve">Weekly Sell-
Through Rate</t>
  </si>
  <si>
    <t xml:space="preserve">Total Weeks
of Cover</t>
  </si>
  <si>
    <t xml:space="preserve">Total Stockout
Risk</t>
  </si>
  <si>
    <t xml:space="preserve">UK Weeks
of Cover</t>
  </si>
  <si>
    <t xml:space="preserve">UK Stockout
Risk</t>
  </si>
  <si>
    <t xml:space="preserve">Open PO Qty
(All Dest.)</t>
  </si>
  <si>
    <t xml:space="preserve">HN-FS-050</t>
  </si>
  <si>
    <t xml:space="preserve">HN-BW-200</t>
  </si>
  <si>
    <t xml:space="preserve">HN-SM-150</t>
  </si>
  <si>
    <t xml:space="preserve">• Product, Category, and Primary Factory are looked up live from the Reference Data Product Catalog — SKU is the only identifying input needed on this sheet.</t>
  </si>
  <si>
    <t xml:space="preserve">• Weekly Sell-Through Rate is a single blended rate per SKU (not broken out by warehouse), as provided in source data. UK Weeks of Cover therefore approximates the UK warehouse independently covering total demand at that SKU's overall sell-through rate — read it as a directional risk indicator, not a precise per-location forecast.</t>
  </si>
  <si>
    <t xml:space="preserve">• Open PO Qty columns pull live from the Purchase Orders sheet (SUMIF/SUMIFS by SKU), so incoming replenishment updates automatically as POs change.</t>
  </si>
  <si>
    <t xml:space="preserve">• Risk thresholds in B4:B5 are editable assumptions — changing them recalculates every Stockout Risk flag on this sheet.</t>
  </si>
  <si>
    <t xml:space="preserve">Reference Data</t>
  </si>
  <si>
    <t xml:space="preserve">Fulfillment Warehouses</t>
  </si>
  <si>
    <t xml:space="preserve">Warehouse Code</t>
  </si>
  <si>
    <t xml:space="preserve">Region / Name</t>
  </si>
  <si>
    <t xml:space="preserve">City</t>
  </si>
  <si>
    <t xml:space="preserve">US West</t>
  </si>
  <si>
    <t xml:space="preserve">Los Angeles</t>
  </si>
  <si>
    <t xml:space="preserve">UK</t>
  </si>
  <si>
    <t xml:space="preserve">Manchester</t>
  </si>
  <si>
    <t xml:space="preserve">Asia</t>
  </si>
  <si>
    <t xml:space="preserve">Hong Kong</t>
  </si>
  <si>
    <t xml:space="preserve">Product Catalog</t>
  </si>
  <si>
    <t xml:space="preserve">Primary Factory</t>
  </si>
  <si>
    <t xml:space="preserve">Recovery Balm 300ml</t>
  </si>
  <si>
    <t xml:space="preserve">Body Care</t>
  </si>
  <si>
    <t xml:space="preserve">Face Serum 50ml</t>
  </si>
  <si>
    <t xml:space="preserve">Skincare</t>
  </si>
  <si>
    <t xml:space="preserve">Body Wash 200ml</t>
  </si>
  <si>
    <t xml:space="preserve">Factory B</t>
  </si>
  <si>
    <t xml:space="preserve">Hair Mask 100ml</t>
  </si>
  <si>
    <t xml:space="preserve">Hair Care</t>
  </si>
  <si>
    <t xml:space="preserve">Lip Balm 3-Pack</t>
  </si>
  <si>
    <t xml:space="preserve">Scalp Mist 150ml</t>
  </si>
  <si>
    <t xml:space="preserve">Essential Oil Blend 30ml</t>
  </si>
  <si>
    <t xml:space="preserve">Wellness</t>
  </si>
  <si>
    <t xml:space="preserve">Bath Crystals 400g</t>
  </si>
  <si>
    <t xml:space="preserve">Night Cream 75ml</t>
  </si>
  <si>
    <t xml:space="preserve">Factory Network</t>
  </si>
  <si>
    <t xml:space="preserve">Country</t>
  </si>
  <si>
    <t xml:space="preserve">SKUs Produced</t>
  </si>
  <si>
    <t xml:space="preserve">MOQ</t>
  </si>
  <si>
    <t xml:space="preserve">MOQ
(Units, Numeric)</t>
  </si>
  <si>
    <t xml:space="preserve">Production Lead Time (Weeks)</t>
  </si>
  <si>
    <t xml:space="preserve">Shenzhen</t>
  </si>
  <si>
    <t xml:space="preserve">China</t>
  </si>
  <si>
    <t xml:space="preserve">HN-RB-300, HN-FS-050, HN-NC-075</t>
  </si>
  <si>
    <t xml:space="preserve">500 units/SKU</t>
  </si>
  <si>
    <t xml:space="preserve">Active — reliable, primary partner</t>
  </si>
  <si>
    <t xml:space="preserve">Chiang Mai</t>
  </si>
  <si>
    <t xml:space="preserve">Thailand</t>
  </si>
  <si>
    <t xml:space="preserve">400 units</t>
  </si>
  <si>
    <t xml:space="preserve">Active — reliable</t>
  </si>
  <si>
    <t xml:space="preserve">Jakarta</t>
  </si>
  <si>
    <t xml:space="preserve">Indonesia</t>
  </si>
  <si>
    <t xml:space="preserve">HN-HM-100, HN-SM-150</t>
  </si>
  <si>
    <t xml:space="preserve">300 units/SKU</t>
  </si>
  <si>
    <t xml:space="preserve">Active — occasional delays</t>
  </si>
  <si>
    <t xml:space="preserve">Taipei</t>
  </si>
  <si>
    <t xml:space="preserve">Taiwan</t>
  </si>
  <si>
    <t xml:space="preserve">1,000 units</t>
  </si>
  <si>
    <t xml:space="preserve">Active — high MOQ but fast</t>
  </si>
  <si>
    <t xml:space="preserve">200 units</t>
  </si>
  <si>
    <t xml:space="preserve">New — first PO in progress</t>
  </si>
  <si>
    <t xml:space="preserve">Ho Chi Minh City</t>
  </si>
  <si>
    <t xml:space="preserve">Vietnam</t>
  </si>
  <si>
    <t xml:space="preserve">500 units</t>
  </si>
  <si>
    <t xml:space="preserve">Active — long lead time</t>
  </si>
  <si>
    <t xml:space="preserve">Shipping Lead Times</t>
  </si>
  <si>
    <t xml:space="preserve">Origin (Factory City)</t>
  </si>
  <si>
    <t xml:space="preserve">Destination (Warehouse Code)</t>
  </si>
  <si>
    <t xml:space="preserve">Sea Freight (Weeks)</t>
  </si>
  <si>
    <t xml:space="preserve">Air Freight (Days)</t>
  </si>
  <si>
    <t xml:space="preserve">Air Freight (Weeks)</t>
  </si>
  <si>
    <t xml:space="preserve">Route Key</t>
  </si>
  <si>
    <t xml:space="preserve">• Blue text = source input data. Black text = formulas that recalculate automatically.</t>
  </si>
  <si>
    <t xml:space="preserve">• Air Freight is converted from days to weeks (÷ 7) in column E for comparison with Sea Freight.</t>
  </si>
  <si>
    <t xml:space="preserve">• Shenzhen→HK and Taipei→HK Sea Freight were stated in the source as '2 days' (an outlier vs. all other Sea Freight entries, which were given in weeks); converted to weeks (2/7 ≈ 0.29) here for unit consistency with the rest of the column.</t>
  </si>
  <si>
    <t xml:space="preserve">• Route Key (column F) concatenates Origin City + Destination Warehouse Code and is used by Purchase Orders and UK Restock Plan lookups.</t>
  </si>
  <si>
    <t xml:space="preserve">• MOQ and Production Lead Time figures are as provided by the factory network source data. MOQ (Units, Numeric) parses the stated MOQ into a plain number for use in restock-quantity formulas.</t>
  </si>
</sst>
</file>

<file path=xl/styles.xml><?xml version="1.0" encoding="utf-8"?>
<styleSheet xmlns="http://schemas.openxmlformats.org/spreadsheetml/2006/main">
  <numFmts count="7">
    <numFmt numFmtId="164" formatCode="General"/>
    <numFmt numFmtId="165" formatCode="yyyy\-mm\-dd"/>
    <numFmt numFmtId="166" formatCode="0.0"/>
    <numFmt numFmtId="167" formatCode="#,##0"/>
    <numFmt numFmtId="168" formatCode="General"/>
    <numFmt numFmtId="169" formatCode="0"/>
    <numFmt numFmtId="170" formatCode="0.00"/>
  </numFmts>
  <fonts count="12">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595959"/>
      <name val="Arial"/>
      <family val="0"/>
      <charset val="1"/>
    </font>
    <font>
      <b val="true"/>
      <sz val="12"/>
      <color rgb="FF1F4E78"/>
      <name val="Arial"/>
      <family val="0"/>
      <charset val="1"/>
    </font>
    <font>
      <sz val="10"/>
      <name val="Arial"/>
      <family val="0"/>
      <charset val="1"/>
    </font>
    <font>
      <b val="true"/>
      <sz val="10"/>
      <name val="Arial"/>
      <family val="0"/>
      <charset val="1"/>
    </font>
    <font>
      <sz val="10"/>
      <color rgb="FF00000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D9D9D9"/>
        <bgColor rgb="FFBDD7EE"/>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true" applyAlignment="true" applyProtection="false">
      <alignment horizontal="left" vertical="center" textRotation="0" wrapText="true" indent="1"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9" fontId="8" fillId="4"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7" fontId="11" fillId="4" borderId="1" xfId="0" applyFont="true" applyBorder="true" applyAlignment="true" applyProtection="false">
      <alignment horizontal="right" vertical="center" textRotation="0" wrapText="false" indent="0" shrinkToFit="false"/>
      <protection locked="true" hidden="false"/>
    </xf>
    <xf numFmtId="170" fontId="9" fillId="0"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7" fontId="11" fillId="0"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70" fontId="9" fillId="0" borderId="1" xfId="0" applyFont="true" applyBorder="true" applyAlignment="true" applyProtection="false">
      <alignment horizontal="center" vertical="center" textRotation="0" wrapText="false" indent="0" shrinkToFit="false"/>
      <protection locked="true" hidden="false"/>
    </xf>
    <xf numFmtId="167" fontId="8" fillId="0" borderId="1" xfId="0" applyFont="true" applyBorder="true" applyAlignment="true" applyProtection="false">
      <alignment horizontal="right" vertical="center" textRotation="0" wrapText="false" indent="0" shrinkToFit="false"/>
      <protection locked="true" hidden="false"/>
    </xf>
    <xf numFmtId="166" fontId="11" fillId="0" borderId="1" xfId="0" applyFont="true" applyBorder="true" applyAlignment="true" applyProtection="false">
      <alignment horizontal="right" vertical="center" textRotation="0" wrapText="false" indent="0" shrinkToFit="false"/>
      <protection locked="true" hidden="false"/>
    </xf>
    <xf numFmtId="170" fontId="11" fillId="0" borderId="1" xfId="0" applyFont="true" applyBorder="true" applyAlignment="true" applyProtection="false">
      <alignment horizontal="left" vertical="center" textRotation="0" wrapText="false" indent="0" shrinkToFit="false"/>
      <protection locked="true" hidden="false"/>
    </xf>
    <xf numFmtId="166" fontId="11" fillId="0" borderId="1" xfId="0" applyFont="true" applyBorder="true" applyAlignment="true" applyProtection="false">
      <alignment horizontal="left" vertical="center" textRotation="0" wrapText="false" indent="0" shrinkToFit="false"/>
      <protection locked="true" hidden="false"/>
    </xf>
    <xf numFmtId="170" fontId="9" fillId="0" borderId="1"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color rgb="FF9C6500"/>
        <sz val="10"/>
      </font>
      <fill>
        <patternFill>
          <bgColor rgb="FFFFEB9C"/>
        </patternFill>
      </fill>
    </dxf>
    <dxf>
      <font>
        <name val="Arial"/>
        <charset val="1"/>
        <family val="0"/>
        <color rgb="FF9C0006"/>
        <sz val="10"/>
      </font>
      <fill>
        <patternFill>
          <bgColor rgb="FFFFC7CE"/>
        </patternFill>
      </fill>
    </dxf>
    <dxf>
      <font>
        <name val="Arial"/>
        <charset val="1"/>
        <family val="0"/>
        <color rgb="FF006100"/>
        <sz val="10"/>
      </font>
      <fill>
        <patternFill>
          <bgColor rgb="FFC6EFCE"/>
        </patternFill>
      </fill>
    </dxf>
    <dxf>
      <font>
        <name val="Arial"/>
        <charset val="1"/>
        <family val="0"/>
        <b val="1"/>
        <color rgb="FFFFFFFF"/>
      </font>
      <fill>
        <patternFill>
          <bgColor rgb="FFC00000"/>
        </patternFill>
      </fill>
    </dxf>
    <dxf>
      <font>
        <name val="Arial"/>
        <charset val="1"/>
        <family val="0"/>
        <b val="1"/>
        <color rgb="FF1F4E78"/>
      </font>
      <fill>
        <patternFill>
          <bgColor rgb="FFBDD7E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008080"/>
      <rgbColor rgb="FFBFBFBF"/>
      <rgbColor rgb="FF808080"/>
      <rgbColor rgb="FF9999FF"/>
      <rgbColor rgb="FF993366"/>
      <rgbColor rgb="FFFFFFCC"/>
      <rgbColor rgb="FFD9D9D9"/>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F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6"/>
    <col collapsed="false" customWidth="true" hidden="false" outlineLevel="0" max="4" min="4" style="0" width="34"/>
    <col collapsed="false" customWidth="true" hidden="false" outlineLevel="0" max="5" min="5" style="0" width="14"/>
  </cols>
  <sheetData>
    <row r="1" customFormat="false" ht="25.5" hidden="false" customHeight="true" outlineLevel="0" collapsed="false">
      <c r="A1" s="1" t="s">
        <v>0</v>
      </c>
      <c r="B1" s="1"/>
      <c r="C1" s="1"/>
      <c r="D1" s="1"/>
      <c r="E1" s="1"/>
    </row>
    <row r="2" customFormat="false" ht="15" hidden="false" customHeight="false" outlineLevel="0" collapsed="false">
      <c r="A2" s="2" t="s">
        <v>1</v>
      </c>
      <c r="B2" s="2"/>
      <c r="C2" s="2"/>
      <c r="D2" s="2"/>
      <c r="E2" s="2"/>
    </row>
    <row r="4" customFormat="false" ht="18" hidden="false" customHeight="true" outlineLevel="0" collapsed="false">
      <c r="A4" s="3" t="s">
        <v>2</v>
      </c>
      <c r="B4" s="3"/>
      <c r="C4" s="3"/>
      <c r="D4" s="3"/>
      <c r="E4" s="3"/>
      <c r="F4" s="3"/>
    </row>
    <row r="5" customFormat="false" ht="18" hidden="false" customHeight="true" outlineLevel="0" collapsed="false">
      <c r="A5" s="4" t="str">
        <f aca="false">"UK Warehouse Shipping: "&amp;IF(COUNTIF('Purchase Orders'!H6:H11,"UK")=0,"No open purchase orders are currently shipping to the UK warehouse.",COUNTIF('Purchase Orders'!H6:H11,"UK")&amp;" open PO(s) shipping to UK.")</f>
        <v>UK Warehouse Shipping: No open purchase orders are currently shipping to the UK warehouse.</v>
      </c>
      <c r="B5" s="4"/>
      <c r="C5" s="4"/>
      <c r="D5" s="4"/>
      <c r="E5" s="4"/>
      <c r="F5" s="4"/>
    </row>
    <row r="6" customFormat="false" ht="18" hidden="false" customHeight="true" outlineLevel="0" collapsed="false">
      <c r="A6" s="4" t="str">
        <f aca="false">"UK Stockout Risk: "&amp;COUNTIF('Inventory &amp; Coverage'!M8:M16,"High Risk")&amp;" of "&amp;COUNTA('Inventory &amp; Coverage'!A8:A16)&amp;" SKUs are at High stockout risk in the UK warehouse; "&amp;SUMPRODUCT(('Inventory &amp; Coverage'!M8:M16="High Risk")*('Inventory &amp; Coverage'!O8:O16=0))&amp;" of those currently have zero replenishment in transit to UK."</f>
        <v>UK Stockout Risk: 9 of 9 SKUs are at High stockout risk in the UK warehouse; 9 of those currently have zero replenishment in transit to UK.</v>
      </c>
      <c r="B6" s="4"/>
      <c r="C6" s="4"/>
      <c r="D6" s="4"/>
      <c r="E6" s="4"/>
      <c r="F6" s="4"/>
    </row>
    <row r="7" customFormat="false" ht="18" hidden="false" customHeight="true" outlineLevel="0" collapsed="false">
      <c r="A7" s="4" t="str">
        <f aca="false">"Purchase Order Risk: "&amp;COUNTIF('Purchase Orders'!O6:O11,"High Risk")&amp;" of "&amp;COUNTA('Purchase Orders'!A6:A11)&amp;" open PO(s) are flagged High Risk and require follow-up."</f>
        <v>Purchase Order Risk: 2 of 6 open PO(s) are flagged High Risk and require follow-up.</v>
      </c>
      <c r="B7" s="4"/>
      <c r="C7" s="4"/>
      <c r="D7" s="4"/>
      <c r="E7" s="4"/>
      <c r="F7" s="4"/>
    </row>
    <row r="8" customFormat="false" ht="18" hidden="false" customHeight="true" outlineLevel="0" collapsed="false">
      <c r="A8" s="4" t="str">
        <f aca="false">"Retail Partner Demand: "&amp;IF('UK Restock Plan'!K20=0,"No opening stocking order quantities from the 3 new UK retail partners have been entered yet (UK Restock Plan column K) — restock quantities below currently reflect DTC demand only and are likely understated.","Retail partner stocking quantities are entered — restock quantities include "&amp;'UK Restock Plan'!K20&amp;" units of retail launch stock.")</f>
        <v>Retail Partner Demand: No opening stocking order quantities from the 3 new UK retail partners have been entered yet (UK Restock Plan column K) — restock quantities below currently reflect DTC demand only and are likely understated.</v>
      </c>
      <c r="B8" s="4"/>
      <c r="C8" s="4"/>
      <c r="D8" s="4"/>
      <c r="E8" s="4"/>
      <c r="F8" s="4"/>
    </row>
    <row r="10" customFormat="false" ht="18" hidden="false" customHeight="true" outlineLevel="0" collapsed="false">
      <c r="A10" s="3" t="s">
        <v>3</v>
      </c>
      <c r="B10" s="3"/>
      <c r="C10" s="3"/>
      <c r="D10" s="3"/>
      <c r="E10" s="3"/>
    </row>
    <row r="11" customFormat="false" ht="15" hidden="false" customHeight="false" outlineLevel="0" collapsed="false">
      <c r="A11" s="5" t="s">
        <v>4</v>
      </c>
      <c r="B11" s="6" t="n">
        <f aca="false">'UK Restock Plan'!B4</f>
        <v>46286</v>
      </c>
    </row>
    <row r="12" customFormat="false" ht="15" hidden="false" customHeight="false" outlineLevel="0" collapsed="false">
      <c r="A12" s="5" t="s">
        <v>5</v>
      </c>
      <c r="B12" s="7" t="n">
        <f aca="false">'UK Restock Plan'!B8</f>
        <v>5.85714285714286</v>
      </c>
    </row>
    <row r="13" customFormat="false" ht="15" hidden="false" customHeight="false" outlineLevel="0" collapsed="false">
      <c r="A13" s="5" t="s">
        <v>6</v>
      </c>
      <c r="B13" s="8" t="n">
        <f aca="false">'UK Restock Plan'!K20</f>
        <v>0</v>
      </c>
    </row>
    <row r="14" customFormat="false" ht="15" hidden="false" customHeight="false" outlineLevel="0" collapsed="false">
      <c r="A14" s="5" t="s">
        <v>7</v>
      </c>
      <c r="B14" s="8" t="n">
        <f aca="false">'UK Restock Plan'!O20</f>
        <v>4600</v>
      </c>
    </row>
    <row r="15" customFormat="false" ht="15" hidden="false" customHeight="false" outlineLevel="0" collapsed="false">
      <c r="A15" s="5" t="s">
        <v>8</v>
      </c>
      <c r="B15" s="9" t="n">
        <f aca="false">COUNTIF('UK Restock Plan'!W11:W19,"On Track")</f>
        <v>0</v>
      </c>
    </row>
    <row r="16" customFormat="false" ht="15" hidden="false" customHeight="false" outlineLevel="0" collapsed="false">
      <c r="A16" s="5" t="s">
        <v>9</v>
      </c>
      <c r="B16" s="9" t="n">
        <f aca="false">COUNTIF('UK Restock Plan'!W11:W19,"Expedite Required")</f>
        <v>9</v>
      </c>
    </row>
    <row r="17" customFormat="false" ht="15" hidden="false" customHeight="false" outlineLevel="0" collapsed="false">
      <c r="A17" s="5" t="s">
        <v>10</v>
      </c>
      <c r="B17" s="9" t="n">
        <f aca="false">COUNTIF('UK Restock Plan'!W11:W19,"Critical — May Miss Launch")</f>
        <v>0</v>
      </c>
    </row>
    <row r="18" customFormat="false" ht="15" hidden="false" customHeight="false" outlineLevel="0" collapsed="false">
      <c r="A18" s="5" t="s">
        <v>11</v>
      </c>
      <c r="B18" s="9" t="n">
        <f aca="false">COUNTIF('PO Follow-Ups'!J6:J11,"Yes")</f>
        <v>3</v>
      </c>
    </row>
    <row r="20" customFormat="false" ht="15" hidden="false" customHeight="false" outlineLevel="0" collapsed="false">
      <c r="A20" s="10" t="s">
        <v>12</v>
      </c>
    </row>
    <row r="21" customFormat="false" ht="22.35" hidden="false" customHeight="true" outlineLevel="0" collapsed="false">
      <c r="A21" s="11" t="s">
        <v>13</v>
      </c>
      <c r="B21" s="11"/>
      <c r="C21" s="11"/>
      <c r="D21" s="11"/>
      <c r="E21" s="11"/>
    </row>
    <row r="22" customFormat="false" ht="15" hidden="false" customHeight="true" outlineLevel="0" collapsed="false">
      <c r="A22" s="11" t="s">
        <v>14</v>
      </c>
      <c r="B22" s="11"/>
      <c r="C22" s="11"/>
      <c r="D22" s="11"/>
      <c r="E22" s="11"/>
    </row>
    <row r="23" customFormat="false" ht="22.35" hidden="false" customHeight="true" outlineLevel="0" collapsed="false">
      <c r="A23" s="11" t="s">
        <v>15</v>
      </c>
      <c r="B23" s="11"/>
      <c r="C23" s="11"/>
      <c r="D23" s="11"/>
      <c r="E23" s="11"/>
    </row>
  </sheetData>
  <mergeCells count="11">
    <mergeCell ref="A1:E1"/>
    <mergeCell ref="A2:E2"/>
    <mergeCell ref="A4:F4"/>
    <mergeCell ref="A5:F5"/>
    <mergeCell ref="A6:F6"/>
    <mergeCell ref="A7:F7"/>
    <mergeCell ref="A8:F8"/>
    <mergeCell ref="A10:E10"/>
    <mergeCell ref="A21:E21"/>
    <mergeCell ref="A22:E22"/>
    <mergeCell ref="A23:E23"/>
  </mergeCells>
  <conditionalFormatting sqref="B13">
    <cfRule type="cellIs" priority="2" operator="equal" aboveAverage="0" equalAverage="0" bottom="0" percent="0" rank="0" text="" dxfId="0">
      <formula>0</formula>
    </cfRule>
  </conditionalFormatting>
  <conditionalFormatting sqref="B17">
    <cfRule type="cellIs" priority="3" operator="greater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W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10"/>
    <col collapsed="false" customWidth="true" hidden="false" outlineLevel="0" max="4" min="4" style="0" width="15"/>
    <col collapsed="false" customWidth="true" hidden="false" outlineLevel="0" max="7" min="5" style="0" width="11"/>
    <col collapsed="false" customWidth="true" hidden="false" outlineLevel="0" max="9" min="8" style="0" width="12"/>
    <col collapsed="false" customWidth="true" hidden="false" outlineLevel="0" max="10" min="10" style="0" width="13"/>
    <col collapsed="false" customWidth="true" hidden="false" outlineLevel="0" max="11" min="11" style="0" width="15"/>
    <col collapsed="false" customWidth="true" hidden="false" outlineLevel="0" max="12" min="12" style="0" width="12"/>
    <col collapsed="false" customWidth="true" hidden="false" outlineLevel="0" max="13" min="13" style="0" width="13"/>
    <col collapsed="false" customWidth="true" hidden="false" outlineLevel="0" max="14" min="14" style="0" width="10"/>
    <col collapsed="false" customWidth="true" hidden="false" outlineLevel="0" max="15" min="15" style="0" width="13"/>
    <col collapsed="false" customWidth="true" hidden="false" outlineLevel="0" max="18" min="16" style="0" width="12"/>
    <col collapsed="false" customWidth="true" hidden="false" outlineLevel="0" max="20" min="19" style="0" width="13"/>
    <col collapsed="false" customWidth="true" hidden="false" outlineLevel="0" max="21" min="21" style="0" width="17"/>
    <col collapsed="false" customWidth="true" hidden="false" outlineLevel="0" max="22" min="22" style="0" width="12"/>
    <col collapsed="false" customWidth="true" hidden="false" outlineLevel="0" max="23" min="23" style="0" width="20"/>
  </cols>
  <sheetData>
    <row r="1" customFormat="false" ht="25.5" hidden="false" customHeight="true" outlineLevel="0" collapsed="false">
      <c r="A1" s="1" t="s">
        <v>16</v>
      </c>
      <c r="B1" s="1"/>
      <c r="C1" s="1"/>
      <c r="D1" s="1"/>
      <c r="E1" s="1"/>
      <c r="F1" s="1"/>
      <c r="G1" s="1"/>
      <c r="H1" s="1"/>
      <c r="I1" s="1"/>
      <c r="J1" s="1"/>
      <c r="K1" s="1"/>
      <c r="L1" s="1"/>
      <c r="M1" s="1"/>
      <c r="N1" s="1"/>
      <c r="O1" s="1"/>
      <c r="P1" s="1"/>
      <c r="Q1" s="1"/>
      <c r="R1" s="1"/>
      <c r="S1" s="1"/>
      <c r="T1" s="1"/>
      <c r="U1" s="1"/>
      <c r="V1" s="1"/>
      <c r="W1" s="1"/>
    </row>
    <row r="3" customFormat="false" ht="15" hidden="false" customHeight="false" outlineLevel="0" collapsed="false">
      <c r="A3" s="10" t="s">
        <v>17</v>
      </c>
    </row>
    <row r="4" customFormat="false" ht="15" hidden="false" customHeight="false" outlineLevel="0" collapsed="false">
      <c r="A4" s="12" t="s">
        <v>4</v>
      </c>
      <c r="B4" s="13" t="n">
        <v>46286</v>
      </c>
      <c r="C4" s="14" t="s">
        <v>18</v>
      </c>
    </row>
    <row r="5" customFormat="false" ht="15" hidden="false" customHeight="false" outlineLevel="0" collapsed="false">
      <c r="A5" s="12" t="s">
        <v>19</v>
      </c>
      <c r="B5" s="15" t="n">
        <v>10</v>
      </c>
      <c r="C5" s="14" t="s">
        <v>20</v>
      </c>
    </row>
    <row r="6" customFormat="false" ht="15" hidden="false" customHeight="false" outlineLevel="0" collapsed="false">
      <c r="A6" s="12" t="s">
        <v>21</v>
      </c>
      <c r="B6" s="16" t="n">
        <v>3</v>
      </c>
      <c r="C6" s="14" t="s">
        <v>22</v>
      </c>
    </row>
    <row r="7" customFormat="false" ht="15" hidden="false" customHeight="false" outlineLevel="0" collapsed="false">
      <c r="A7" s="12" t="s">
        <v>23</v>
      </c>
      <c r="B7" s="17" t="n">
        <f aca="true">TODAY()</f>
        <v>46245</v>
      </c>
    </row>
    <row r="8" customFormat="false" ht="15" hidden="false" customHeight="false" outlineLevel="0" collapsed="false">
      <c r="A8" s="12" t="s">
        <v>5</v>
      </c>
      <c r="B8" s="18" t="n">
        <f aca="false">($B$4-$B$7)/7</f>
        <v>5.85714285714286</v>
      </c>
    </row>
    <row r="10" customFormat="false" ht="42" hidden="false" customHeight="true" outlineLevel="0" collapsed="false">
      <c r="A10" s="19" t="s">
        <v>24</v>
      </c>
      <c r="B10" s="19" t="s">
        <v>25</v>
      </c>
      <c r="C10" s="19" t="s">
        <v>26</v>
      </c>
      <c r="D10" s="19" t="s">
        <v>27</v>
      </c>
      <c r="E10" s="19" t="s">
        <v>28</v>
      </c>
      <c r="F10" s="19" t="s">
        <v>29</v>
      </c>
      <c r="G10" s="19" t="s">
        <v>30</v>
      </c>
      <c r="H10" s="19" t="s">
        <v>31</v>
      </c>
      <c r="I10" s="19" t="s">
        <v>32</v>
      </c>
      <c r="J10" s="19" t="s">
        <v>33</v>
      </c>
      <c r="K10" s="19" t="s">
        <v>34</v>
      </c>
      <c r="L10" s="19" t="s">
        <v>35</v>
      </c>
      <c r="M10" s="19" t="s">
        <v>36</v>
      </c>
      <c r="N10" s="19" t="s">
        <v>37</v>
      </c>
      <c r="O10" s="19" t="s">
        <v>38</v>
      </c>
      <c r="P10" s="19" t="s">
        <v>39</v>
      </c>
      <c r="Q10" s="19" t="s">
        <v>40</v>
      </c>
      <c r="R10" s="19" t="s">
        <v>41</v>
      </c>
      <c r="S10" s="19" t="s">
        <v>42</v>
      </c>
      <c r="T10" s="19" t="s">
        <v>43</v>
      </c>
      <c r="U10" s="19" t="s">
        <v>44</v>
      </c>
      <c r="V10" s="19" t="s">
        <v>45</v>
      </c>
      <c r="W10" s="19" t="s">
        <v>46</v>
      </c>
    </row>
    <row r="11" customFormat="false" ht="15" hidden="false" customHeight="false" outlineLevel="0" collapsed="false">
      <c r="A11" s="20" t="str">
        <f aca="false">'Inventory &amp; Coverage'!A8</f>
        <v>HN-RB-300</v>
      </c>
      <c r="B11" s="20" t="str">
        <f aca="false">'Inventory &amp; Coverage'!B8</f>
        <v>Recovery Balm 300ml</v>
      </c>
      <c r="C11" s="20" t="str">
        <f aca="false">'Inventory &amp; Coverage'!D8</f>
        <v>Factory A</v>
      </c>
      <c r="D11" s="20" t="str">
        <f aca="false">IFERROR(INDEX('Reference Data'!$B$22:$B$27,MATCH($C11,'Reference Data'!$A$22:$A$27,0)),"N/A")</f>
        <v>Shenzhen</v>
      </c>
      <c r="E11" s="21" t="n">
        <f aca="false">'Inventory &amp; Coverage'!F8</f>
        <v>35</v>
      </c>
      <c r="F11" s="21" t="n">
        <f aca="false">'Inventory &amp; Coverage'!I8</f>
        <v>75</v>
      </c>
      <c r="G11" s="21" t="n">
        <f aca="false">'Inventory &amp; Coverage'!O8</f>
        <v>0</v>
      </c>
      <c r="H11" s="22" t="n">
        <f aca="false">'Inventory &amp; Coverage'!L8</f>
        <v>0.466666666666667</v>
      </c>
      <c r="I11" s="23" t="str">
        <f aca="false">'Inventory &amp; Coverage'!M8</f>
        <v>High Risk</v>
      </c>
      <c r="J11" s="21" t="n">
        <f aca="false">MAX($E11-$F11*$B$8,0)+$G11</f>
        <v>0</v>
      </c>
      <c r="K11" s="24" t="n">
        <v>0</v>
      </c>
      <c r="L11" s="21" t="n">
        <f aca="false">$F11*$B$5+$K11</f>
        <v>750</v>
      </c>
      <c r="M11" s="21" t="n">
        <f aca="false">MAX($L11-$J11,0)</f>
        <v>750</v>
      </c>
      <c r="N11" s="21" t="n">
        <f aca="false">IFERROR(INDEX('Reference Data'!$F$22:$F$27,MATCH($C11,'Reference Data'!$A$22:$A$27,0)),"N/A")</f>
        <v>500</v>
      </c>
      <c r="O11" s="21" t="n">
        <f aca="false">IF($M11&lt;=0,0,MAX($M11,$N11))</f>
        <v>750</v>
      </c>
      <c r="P11" s="22" t="n">
        <f aca="false">IFERROR(INDEX('Reference Data'!$G$22:$G$27,MATCH($C11,'Reference Data'!$A$22:$A$27,0)),"N/A")</f>
        <v>3</v>
      </c>
      <c r="Q11" s="25" t="n">
        <f aca="false">IFERROR(INDEX('Reference Data'!$C$31:$C$45,MATCH($D11&amp;"|UK",'Reference Data'!$F$31:$F$45,0)),"N/A")</f>
        <v>5</v>
      </c>
      <c r="R11" s="25" t="n">
        <f aca="false">IFERROR(INDEX('Reference Data'!$E$31:$E$45,MATCH($D11&amp;"|UK",'Reference Data'!$F$31:$F$45,0)),"N/A")</f>
        <v>1</v>
      </c>
      <c r="S11" s="25" t="n">
        <f aca="false">$P11+$Q11</f>
        <v>8</v>
      </c>
      <c r="T11" s="25" t="n">
        <f aca="false">$P11+$R11</f>
        <v>4</v>
      </c>
      <c r="U11" s="23" t="str">
        <f aca="false">IF($O11=0,"No Order Needed",IF($S11&lt;=$B$8,"Sea",IF($T11&lt;=$B$8,"Air — Expedite","Air — Still At Risk")))</f>
        <v>Air — Expedite</v>
      </c>
      <c r="V11" s="17" t="n">
        <f aca="false">IF($O11=0,"N/A",$B$4-IF($U11="Sea",$S11,$T11)*7)</f>
        <v>46258</v>
      </c>
      <c r="W11" s="23" t="str">
        <f aca="false">IF($O11=0,"No Restock Needed",IF($U11="Sea","On Track",IF($U11="Air — Expedite","Expedite Required","Critical — May Miss Launch")))</f>
        <v>Expedite Required</v>
      </c>
    </row>
    <row r="12" customFormat="false" ht="15" hidden="false" customHeight="false" outlineLevel="0" collapsed="false">
      <c r="A12" s="20" t="str">
        <f aca="false">'Inventory &amp; Coverage'!A9</f>
        <v>HN-FS-050</v>
      </c>
      <c r="B12" s="20" t="str">
        <f aca="false">'Inventory &amp; Coverage'!B9</f>
        <v>Face Serum 50ml</v>
      </c>
      <c r="C12" s="20" t="str">
        <f aca="false">'Inventory &amp; Coverage'!D9</f>
        <v>Factory A</v>
      </c>
      <c r="D12" s="20" t="str">
        <f aca="false">IFERROR(INDEX('Reference Data'!$B$22:$B$27,MATCH($C12,'Reference Data'!$A$22:$A$27,0)),"N/A")</f>
        <v>Shenzhen</v>
      </c>
      <c r="E12" s="21" t="n">
        <f aca="false">'Inventory &amp; Coverage'!F9</f>
        <v>20</v>
      </c>
      <c r="F12" s="21" t="n">
        <f aca="false">'Inventory &amp; Coverage'!I9</f>
        <v>45</v>
      </c>
      <c r="G12" s="21" t="n">
        <f aca="false">'Inventory &amp; Coverage'!O9</f>
        <v>0</v>
      </c>
      <c r="H12" s="22" t="n">
        <f aca="false">'Inventory &amp; Coverage'!L9</f>
        <v>0.444444444444444</v>
      </c>
      <c r="I12" s="23" t="str">
        <f aca="false">'Inventory &amp; Coverage'!M9</f>
        <v>High Risk</v>
      </c>
      <c r="J12" s="21" t="n">
        <f aca="false">MAX($E12-$F12*$B$8,0)+$G12</f>
        <v>0</v>
      </c>
      <c r="K12" s="24" t="n">
        <v>0</v>
      </c>
      <c r="L12" s="21" t="n">
        <f aca="false">$F12*$B$5+$K12</f>
        <v>450</v>
      </c>
      <c r="M12" s="21" t="n">
        <f aca="false">MAX($L12-$J12,0)</f>
        <v>450</v>
      </c>
      <c r="N12" s="21" t="n">
        <f aca="false">IFERROR(INDEX('Reference Data'!$F$22:$F$27,MATCH($C12,'Reference Data'!$A$22:$A$27,0)),"N/A")</f>
        <v>500</v>
      </c>
      <c r="O12" s="21" t="n">
        <f aca="false">IF($M12&lt;=0,0,MAX($M12,$N12))</f>
        <v>500</v>
      </c>
      <c r="P12" s="22" t="n">
        <f aca="false">IFERROR(INDEX('Reference Data'!$G$22:$G$27,MATCH($C12,'Reference Data'!$A$22:$A$27,0)),"N/A")</f>
        <v>3</v>
      </c>
      <c r="Q12" s="25" t="n">
        <f aca="false">IFERROR(INDEX('Reference Data'!$C$31:$C$45,MATCH($D12&amp;"|UK",'Reference Data'!$F$31:$F$45,0)),"N/A")</f>
        <v>5</v>
      </c>
      <c r="R12" s="25" t="n">
        <f aca="false">IFERROR(INDEX('Reference Data'!$E$31:$E$45,MATCH($D12&amp;"|UK",'Reference Data'!$F$31:$F$45,0)),"N/A")</f>
        <v>1</v>
      </c>
      <c r="S12" s="25" t="n">
        <f aca="false">$P12+$Q12</f>
        <v>8</v>
      </c>
      <c r="T12" s="25" t="n">
        <f aca="false">$P12+$R12</f>
        <v>4</v>
      </c>
      <c r="U12" s="23" t="str">
        <f aca="false">IF($O12=0,"No Order Needed",IF($S12&lt;=$B$8,"Sea",IF($T12&lt;=$B$8,"Air — Expedite","Air — Still At Risk")))</f>
        <v>Air — Expedite</v>
      </c>
      <c r="V12" s="17" t="n">
        <f aca="false">IF($O12=0,"N/A",$B$4-IF($U12="Sea",$S12,$T12)*7)</f>
        <v>46258</v>
      </c>
      <c r="W12" s="23" t="str">
        <f aca="false">IF($O12=0,"No Restock Needed",IF($U12="Sea","On Track",IF($U12="Air — Expedite","Expedite Required","Critical — May Miss Launch")))</f>
        <v>Expedite Required</v>
      </c>
    </row>
    <row r="13" customFormat="false" ht="15" hidden="false" customHeight="false" outlineLevel="0" collapsed="false">
      <c r="A13" s="20" t="str">
        <f aca="false">'Inventory &amp; Coverage'!A10</f>
        <v>HN-BW-200</v>
      </c>
      <c r="B13" s="20" t="str">
        <f aca="false">'Inventory &amp; Coverage'!B10</f>
        <v>Body Wash 200ml</v>
      </c>
      <c r="C13" s="20" t="str">
        <f aca="false">'Inventory &amp; Coverage'!D10</f>
        <v>Factory B</v>
      </c>
      <c r="D13" s="20" t="str">
        <f aca="false">IFERROR(INDEX('Reference Data'!$B$22:$B$27,MATCH($C13,'Reference Data'!$A$22:$A$27,0)),"N/A")</f>
        <v>Chiang Mai</v>
      </c>
      <c r="E13" s="21" t="n">
        <f aca="false">'Inventory &amp; Coverage'!F10</f>
        <v>50</v>
      </c>
      <c r="F13" s="21" t="n">
        <f aca="false">'Inventory &amp; Coverage'!I10</f>
        <v>55</v>
      </c>
      <c r="G13" s="21" t="n">
        <f aca="false">'Inventory &amp; Coverage'!O10</f>
        <v>0</v>
      </c>
      <c r="H13" s="22" t="n">
        <f aca="false">'Inventory &amp; Coverage'!L10</f>
        <v>0.909090909090909</v>
      </c>
      <c r="I13" s="23" t="str">
        <f aca="false">'Inventory &amp; Coverage'!M10</f>
        <v>High Risk</v>
      </c>
      <c r="J13" s="21" t="n">
        <f aca="false">MAX($E13-$F13*$B$8,0)+$G13</f>
        <v>0</v>
      </c>
      <c r="K13" s="24" t="n">
        <v>0</v>
      </c>
      <c r="L13" s="21" t="n">
        <f aca="false">$F13*$B$5+$K13</f>
        <v>550</v>
      </c>
      <c r="M13" s="21" t="n">
        <f aca="false">MAX($L13-$J13,0)</f>
        <v>550</v>
      </c>
      <c r="N13" s="21" t="n">
        <f aca="false">IFERROR(INDEX('Reference Data'!$F$22:$F$27,MATCH($C13,'Reference Data'!$A$22:$A$27,0)),"N/A")</f>
        <v>400</v>
      </c>
      <c r="O13" s="21" t="n">
        <f aca="false">IF($M13&lt;=0,0,MAX($M13,$N13))</f>
        <v>550</v>
      </c>
      <c r="P13" s="22" t="n">
        <f aca="false">IFERROR(INDEX('Reference Data'!$G$22:$G$27,MATCH($C13,'Reference Data'!$A$22:$A$27,0)),"N/A")</f>
        <v>2.5</v>
      </c>
      <c r="Q13" s="25" t="n">
        <f aca="false">IFERROR(INDEX('Reference Data'!$C$31:$C$45,MATCH($D13&amp;"|UK",'Reference Data'!$F$31:$F$45,0)),"N/A")</f>
        <v>4.5</v>
      </c>
      <c r="R13" s="25" t="n">
        <f aca="false">IFERROR(INDEX('Reference Data'!$E$31:$E$45,MATCH($D13&amp;"|UK",'Reference Data'!$F$31:$F$45,0)),"N/A")</f>
        <v>1</v>
      </c>
      <c r="S13" s="25" t="n">
        <f aca="false">$P13+$Q13</f>
        <v>7</v>
      </c>
      <c r="T13" s="25" t="n">
        <f aca="false">$P13+$R13</f>
        <v>3.5</v>
      </c>
      <c r="U13" s="23" t="str">
        <f aca="false">IF($O13=0,"No Order Needed",IF($S13&lt;=$B$8,"Sea",IF($T13&lt;=$B$8,"Air — Expedite","Air — Still At Risk")))</f>
        <v>Air — Expedite</v>
      </c>
      <c r="V13" s="17" t="n">
        <f aca="false">IF($O13=0,"N/A",$B$4-IF($U13="Sea",$S13,$T13)*7)</f>
        <v>46261.5</v>
      </c>
      <c r="W13" s="23" t="str">
        <f aca="false">IF($O13=0,"No Restock Needed",IF($U13="Sea","On Track",IF($U13="Air — Expedite","Expedite Required","Critical — May Miss Launch")))</f>
        <v>Expedite Required</v>
      </c>
    </row>
    <row r="14" customFormat="false" ht="15" hidden="false" customHeight="false" outlineLevel="0" collapsed="false">
      <c r="A14" s="20" t="str">
        <f aca="false">'Inventory &amp; Coverage'!A11</f>
        <v>HN-HM-100</v>
      </c>
      <c r="B14" s="20" t="str">
        <f aca="false">'Inventory &amp; Coverage'!B11</f>
        <v>Hair Mask 100ml</v>
      </c>
      <c r="C14" s="20" t="str">
        <f aca="false">'Inventory &amp; Coverage'!D11</f>
        <v>Factory C</v>
      </c>
      <c r="D14" s="20" t="str">
        <f aca="false">IFERROR(INDEX('Reference Data'!$B$22:$B$27,MATCH($C14,'Reference Data'!$A$22:$A$27,0)),"N/A")</f>
        <v>Jakarta</v>
      </c>
      <c r="E14" s="21" t="n">
        <f aca="false">'Inventory &amp; Coverage'!F11</f>
        <v>25</v>
      </c>
      <c r="F14" s="21" t="n">
        <f aca="false">'Inventory &amp; Coverage'!I11</f>
        <v>30</v>
      </c>
      <c r="G14" s="21" t="n">
        <f aca="false">'Inventory &amp; Coverage'!O11</f>
        <v>0</v>
      </c>
      <c r="H14" s="22" t="n">
        <f aca="false">'Inventory &amp; Coverage'!L11</f>
        <v>0.833333333333333</v>
      </c>
      <c r="I14" s="23" t="str">
        <f aca="false">'Inventory &amp; Coverage'!M11</f>
        <v>High Risk</v>
      </c>
      <c r="J14" s="21" t="n">
        <f aca="false">MAX($E14-$F14*$B$8,0)+$G14</f>
        <v>0</v>
      </c>
      <c r="K14" s="24" t="n">
        <v>0</v>
      </c>
      <c r="L14" s="21" t="n">
        <f aca="false">$F14*$B$5+$K14</f>
        <v>300</v>
      </c>
      <c r="M14" s="21" t="n">
        <f aca="false">MAX($L14-$J14,0)</f>
        <v>300</v>
      </c>
      <c r="N14" s="21" t="n">
        <f aca="false">IFERROR(INDEX('Reference Data'!$F$22:$F$27,MATCH($C14,'Reference Data'!$A$22:$A$27,0)),"N/A")</f>
        <v>300</v>
      </c>
      <c r="O14" s="21" t="n">
        <f aca="false">IF($M14&lt;=0,0,MAX($M14,$N14))</f>
        <v>300</v>
      </c>
      <c r="P14" s="22" t="n">
        <f aca="false">IFERROR(INDEX('Reference Data'!$G$22:$G$27,MATCH($C14,'Reference Data'!$A$22:$A$27,0)),"N/A")</f>
        <v>3</v>
      </c>
      <c r="Q14" s="25" t="n">
        <f aca="false">IFERROR(INDEX('Reference Data'!$C$31:$C$45,MATCH($D14&amp;"|UK",'Reference Data'!$F$31:$F$45,0)),"N/A")</f>
        <v>5</v>
      </c>
      <c r="R14" s="25" t="n">
        <f aca="false">IFERROR(INDEX('Reference Data'!$E$31:$E$45,MATCH($D14&amp;"|UK",'Reference Data'!$F$31:$F$45,0)),"N/A")</f>
        <v>1</v>
      </c>
      <c r="S14" s="25" t="n">
        <f aca="false">$P14+$Q14</f>
        <v>8</v>
      </c>
      <c r="T14" s="25" t="n">
        <f aca="false">$P14+$R14</f>
        <v>4</v>
      </c>
      <c r="U14" s="23" t="str">
        <f aca="false">IF($O14=0,"No Order Needed",IF($S14&lt;=$B$8,"Sea",IF($T14&lt;=$B$8,"Air — Expedite","Air — Still At Risk")))</f>
        <v>Air — Expedite</v>
      </c>
      <c r="V14" s="17" t="n">
        <f aca="false">IF($O14=0,"N/A",$B$4-IF($U14="Sea",$S14,$T14)*7)</f>
        <v>46258</v>
      </c>
      <c r="W14" s="23" t="str">
        <f aca="false">IF($O14=0,"No Restock Needed",IF($U14="Sea","On Track",IF($U14="Air — Expedite","Expedite Required","Critical — May Miss Launch")))</f>
        <v>Expedite Required</v>
      </c>
    </row>
    <row r="15" customFormat="false" ht="15" hidden="false" customHeight="false" outlineLevel="0" collapsed="false">
      <c r="A15" s="20" t="str">
        <f aca="false">'Inventory &amp; Coverage'!A12</f>
        <v>HN-LB-250</v>
      </c>
      <c r="B15" s="20" t="str">
        <f aca="false">'Inventory &amp; Coverage'!B12</f>
        <v>Lip Balm 3-Pack</v>
      </c>
      <c r="C15" s="20" t="str">
        <f aca="false">'Inventory &amp; Coverage'!D12</f>
        <v>Factory D</v>
      </c>
      <c r="D15" s="20" t="str">
        <f aca="false">IFERROR(INDEX('Reference Data'!$B$22:$B$27,MATCH($C15,'Reference Data'!$A$22:$A$27,0)),"N/A")</f>
        <v>Taipei</v>
      </c>
      <c r="E15" s="21" t="n">
        <f aca="false">'Inventory &amp; Coverage'!F12</f>
        <v>40</v>
      </c>
      <c r="F15" s="21" t="n">
        <f aca="false">'Inventory &amp; Coverage'!I12</f>
        <v>60</v>
      </c>
      <c r="G15" s="21" t="n">
        <f aca="false">'Inventory &amp; Coverage'!O12</f>
        <v>0</v>
      </c>
      <c r="H15" s="22" t="n">
        <f aca="false">'Inventory &amp; Coverage'!L12</f>
        <v>0.666666666666667</v>
      </c>
      <c r="I15" s="23" t="str">
        <f aca="false">'Inventory &amp; Coverage'!M12</f>
        <v>High Risk</v>
      </c>
      <c r="J15" s="21" t="n">
        <f aca="false">MAX($E15-$F15*$B$8,0)+$G15</f>
        <v>0</v>
      </c>
      <c r="K15" s="24" t="n">
        <v>0</v>
      </c>
      <c r="L15" s="21" t="n">
        <f aca="false">$F15*$B$5+$K15</f>
        <v>600</v>
      </c>
      <c r="M15" s="21" t="n">
        <f aca="false">MAX($L15-$J15,0)</f>
        <v>600</v>
      </c>
      <c r="N15" s="21" t="n">
        <f aca="false">IFERROR(INDEX('Reference Data'!$F$22:$F$27,MATCH($C15,'Reference Data'!$A$22:$A$27,0)),"N/A")</f>
        <v>1000</v>
      </c>
      <c r="O15" s="21" t="n">
        <f aca="false">IF($M15&lt;=0,0,MAX($M15,$N15))</f>
        <v>1000</v>
      </c>
      <c r="P15" s="22" t="n">
        <f aca="false">IFERROR(INDEX('Reference Data'!$G$22:$G$27,MATCH($C15,'Reference Data'!$A$22:$A$27,0)),"N/A")</f>
        <v>2</v>
      </c>
      <c r="Q15" s="25" t="n">
        <f aca="false">IFERROR(INDEX('Reference Data'!$C$31:$C$45,MATCH($D15&amp;"|UK",'Reference Data'!$F$31:$F$45,0)),"N/A")</f>
        <v>5</v>
      </c>
      <c r="R15" s="25" t="n">
        <f aca="false">IFERROR(INDEX('Reference Data'!$E$31:$E$45,MATCH($D15&amp;"|UK",'Reference Data'!$F$31:$F$45,0)),"N/A")</f>
        <v>0.857142857142857</v>
      </c>
      <c r="S15" s="25" t="n">
        <f aca="false">$P15+$Q15</f>
        <v>7</v>
      </c>
      <c r="T15" s="25" t="n">
        <f aca="false">$P15+$R15</f>
        <v>2.85714285714286</v>
      </c>
      <c r="U15" s="23" t="str">
        <f aca="false">IF($O15=0,"No Order Needed",IF($S15&lt;=$B$8,"Sea",IF($T15&lt;=$B$8,"Air — Expedite","Air — Still At Risk")))</f>
        <v>Air — Expedite</v>
      </c>
      <c r="V15" s="17" t="n">
        <f aca="false">IF($O15=0,"N/A",$B$4-IF($U15="Sea",$S15,$T15)*7)</f>
        <v>46266</v>
      </c>
      <c r="W15" s="23" t="str">
        <f aca="false">IF($O15=0,"No Restock Needed",IF($U15="Sea","On Track",IF($U15="Air — Expedite","Expedite Required","Critical — May Miss Launch")))</f>
        <v>Expedite Required</v>
      </c>
    </row>
    <row r="16" customFormat="false" ht="15" hidden="false" customHeight="false" outlineLevel="0" collapsed="false">
      <c r="A16" s="20" t="str">
        <f aca="false">'Inventory &amp; Coverage'!A13</f>
        <v>HN-SM-150</v>
      </c>
      <c r="B16" s="20" t="str">
        <f aca="false">'Inventory &amp; Coverage'!B13</f>
        <v>Scalp Mist 150ml</v>
      </c>
      <c r="C16" s="20" t="str">
        <f aca="false">'Inventory &amp; Coverage'!D13</f>
        <v>Factory C</v>
      </c>
      <c r="D16" s="20" t="str">
        <f aca="false">IFERROR(INDEX('Reference Data'!$B$22:$B$27,MATCH($C16,'Reference Data'!$A$22:$A$27,0)),"N/A")</f>
        <v>Jakarta</v>
      </c>
      <c r="E16" s="21" t="n">
        <f aca="false">'Inventory &amp; Coverage'!F13</f>
        <v>10</v>
      </c>
      <c r="F16" s="21" t="n">
        <f aca="false">'Inventory &amp; Coverage'!I13</f>
        <v>20</v>
      </c>
      <c r="G16" s="21" t="n">
        <f aca="false">'Inventory &amp; Coverage'!O13</f>
        <v>0</v>
      </c>
      <c r="H16" s="22" t="n">
        <f aca="false">'Inventory &amp; Coverage'!L13</f>
        <v>0.5</v>
      </c>
      <c r="I16" s="23" t="str">
        <f aca="false">'Inventory &amp; Coverage'!M13</f>
        <v>High Risk</v>
      </c>
      <c r="J16" s="21" t="n">
        <f aca="false">MAX($E16-$F16*$B$8,0)+$G16</f>
        <v>0</v>
      </c>
      <c r="K16" s="24" t="n">
        <v>0</v>
      </c>
      <c r="L16" s="21" t="n">
        <f aca="false">$F16*$B$5+$K16</f>
        <v>200</v>
      </c>
      <c r="M16" s="21" t="n">
        <f aca="false">MAX($L16-$J16,0)</f>
        <v>200</v>
      </c>
      <c r="N16" s="21" t="n">
        <f aca="false">IFERROR(INDEX('Reference Data'!$F$22:$F$27,MATCH($C16,'Reference Data'!$A$22:$A$27,0)),"N/A")</f>
        <v>300</v>
      </c>
      <c r="O16" s="21" t="n">
        <f aca="false">IF($M16&lt;=0,0,MAX($M16,$N16))</f>
        <v>300</v>
      </c>
      <c r="P16" s="22" t="n">
        <f aca="false">IFERROR(INDEX('Reference Data'!$G$22:$G$27,MATCH($C16,'Reference Data'!$A$22:$A$27,0)),"N/A")</f>
        <v>3</v>
      </c>
      <c r="Q16" s="25" t="n">
        <f aca="false">IFERROR(INDEX('Reference Data'!$C$31:$C$45,MATCH($D16&amp;"|UK",'Reference Data'!$F$31:$F$45,0)),"N/A")</f>
        <v>5</v>
      </c>
      <c r="R16" s="25" t="n">
        <f aca="false">IFERROR(INDEX('Reference Data'!$E$31:$E$45,MATCH($D16&amp;"|UK",'Reference Data'!$F$31:$F$45,0)),"N/A")</f>
        <v>1</v>
      </c>
      <c r="S16" s="25" t="n">
        <f aca="false">$P16+$Q16</f>
        <v>8</v>
      </c>
      <c r="T16" s="25" t="n">
        <f aca="false">$P16+$R16</f>
        <v>4</v>
      </c>
      <c r="U16" s="23" t="str">
        <f aca="false">IF($O16=0,"No Order Needed",IF($S16&lt;=$B$8,"Sea",IF($T16&lt;=$B$8,"Air — Expedite","Air — Still At Risk")))</f>
        <v>Air — Expedite</v>
      </c>
      <c r="V16" s="17" t="n">
        <f aca="false">IF($O16=0,"N/A",$B$4-IF($U16="Sea",$S16,$T16)*7)</f>
        <v>46258</v>
      </c>
      <c r="W16" s="23" t="str">
        <f aca="false">IF($O16=0,"No Restock Needed",IF($U16="Sea","On Track",IF($U16="Air — Expedite","Expedite Required","Critical — May Miss Launch")))</f>
        <v>Expedite Required</v>
      </c>
    </row>
    <row r="17" customFormat="false" ht="15" hidden="false" customHeight="false" outlineLevel="0" collapsed="false">
      <c r="A17" s="20" t="str">
        <f aca="false">'Inventory &amp; Coverage'!A14</f>
        <v>HN-EO-030</v>
      </c>
      <c r="B17" s="20" t="str">
        <f aca="false">'Inventory &amp; Coverage'!B14</f>
        <v>Essential Oil Blend 30ml</v>
      </c>
      <c r="C17" s="20" t="str">
        <f aca="false">'Inventory &amp; Coverage'!D14</f>
        <v>Factory E</v>
      </c>
      <c r="D17" s="20" t="str">
        <f aca="false">IFERROR(INDEX('Reference Data'!$B$22:$B$27,MATCH($C17,'Reference Data'!$A$22:$A$27,0)),"N/A")</f>
        <v>Chiang Mai</v>
      </c>
      <c r="E17" s="21" t="n">
        <f aca="false">'Inventory &amp; Coverage'!F14</f>
        <v>8</v>
      </c>
      <c r="F17" s="21" t="n">
        <f aca="false">'Inventory &amp; Coverage'!I14</f>
        <v>15</v>
      </c>
      <c r="G17" s="21" t="n">
        <f aca="false">'Inventory &amp; Coverage'!O14</f>
        <v>0</v>
      </c>
      <c r="H17" s="22" t="n">
        <f aca="false">'Inventory &amp; Coverage'!L14</f>
        <v>0.533333333333333</v>
      </c>
      <c r="I17" s="23" t="str">
        <f aca="false">'Inventory &amp; Coverage'!M14</f>
        <v>High Risk</v>
      </c>
      <c r="J17" s="21" t="n">
        <f aca="false">MAX($E17-$F17*$B$8,0)+$G17</f>
        <v>0</v>
      </c>
      <c r="K17" s="24" t="n">
        <v>0</v>
      </c>
      <c r="L17" s="21" t="n">
        <f aca="false">$F17*$B$5+$K17</f>
        <v>150</v>
      </c>
      <c r="M17" s="21" t="n">
        <f aca="false">MAX($L17-$J17,0)</f>
        <v>150</v>
      </c>
      <c r="N17" s="21" t="n">
        <f aca="false">IFERROR(INDEX('Reference Data'!$F$22:$F$27,MATCH($C17,'Reference Data'!$A$22:$A$27,0)),"N/A")</f>
        <v>200</v>
      </c>
      <c r="O17" s="21" t="n">
        <f aca="false">IF($M17&lt;=0,0,MAX($M17,$N17))</f>
        <v>200</v>
      </c>
      <c r="P17" s="22" t="n">
        <f aca="false">IFERROR(INDEX('Reference Data'!$G$22:$G$27,MATCH($C17,'Reference Data'!$A$22:$A$27,0)),"N/A")</f>
        <v>2</v>
      </c>
      <c r="Q17" s="25" t="n">
        <f aca="false">IFERROR(INDEX('Reference Data'!$C$31:$C$45,MATCH($D17&amp;"|UK",'Reference Data'!$F$31:$F$45,0)),"N/A")</f>
        <v>4.5</v>
      </c>
      <c r="R17" s="25" t="n">
        <f aca="false">IFERROR(INDEX('Reference Data'!$E$31:$E$45,MATCH($D17&amp;"|UK",'Reference Data'!$F$31:$F$45,0)),"N/A")</f>
        <v>1</v>
      </c>
      <c r="S17" s="25" t="n">
        <f aca="false">$P17+$Q17</f>
        <v>6.5</v>
      </c>
      <c r="T17" s="25" t="n">
        <f aca="false">$P17+$R17</f>
        <v>3</v>
      </c>
      <c r="U17" s="23" t="str">
        <f aca="false">IF($O17=0,"No Order Needed",IF($S17&lt;=$B$8,"Sea",IF($T17&lt;=$B$8,"Air — Expedite","Air — Still At Risk")))</f>
        <v>Air — Expedite</v>
      </c>
      <c r="V17" s="17" t="n">
        <f aca="false">IF($O17=0,"N/A",$B$4-IF($U17="Sea",$S17,$T17)*7)</f>
        <v>46265</v>
      </c>
      <c r="W17" s="23" t="str">
        <f aca="false">IF($O17=0,"No Restock Needed",IF($U17="Sea","On Track",IF($U17="Air — Expedite","Expedite Required","Critical — May Miss Launch")))</f>
        <v>Expedite Required</v>
      </c>
    </row>
    <row r="18" customFormat="false" ht="15" hidden="false" customHeight="false" outlineLevel="0" collapsed="false">
      <c r="A18" s="20" t="str">
        <f aca="false">'Inventory &amp; Coverage'!A15</f>
        <v>HN-BC-400</v>
      </c>
      <c r="B18" s="20" t="str">
        <f aca="false">'Inventory &amp; Coverage'!B15</f>
        <v>Bath Crystals 400g</v>
      </c>
      <c r="C18" s="20" t="str">
        <f aca="false">'Inventory &amp; Coverage'!D15</f>
        <v>Factory F</v>
      </c>
      <c r="D18" s="20" t="str">
        <f aca="false">IFERROR(INDEX('Reference Data'!$B$22:$B$27,MATCH($C18,'Reference Data'!$A$22:$A$27,0)),"N/A")</f>
        <v>Ho Chi Minh City</v>
      </c>
      <c r="E18" s="21" t="n">
        <f aca="false">'Inventory &amp; Coverage'!F15</f>
        <v>15</v>
      </c>
      <c r="F18" s="21" t="n">
        <f aca="false">'Inventory &amp; Coverage'!I15</f>
        <v>25</v>
      </c>
      <c r="G18" s="21" t="n">
        <f aca="false">'Inventory &amp; Coverage'!O15</f>
        <v>0</v>
      </c>
      <c r="H18" s="22" t="n">
        <f aca="false">'Inventory &amp; Coverage'!L15</f>
        <v>0.6</v>
      </c>
      <c r="I18" s="23" t="str">
        <f aca="false">'Inventory &amp; Coverage'!M15</f>
        <v>High Risk</v>
      </c>
      <c r="J18" s="21" t="n">
        <f aca="false">MAX($E18-$F18*$B$8,0)+$G18</f>
        <v>0</v>
      </c>
      <c r="K18" s="24" t="n">
        <v>0</v>
      </c>
      <c r="L18" s="21" t="n">
        <f aca="false">$F18*$B$5+$K18</f>
        <v>250</v>
      </c>
      <c r="M18" s="21" t="n">
        <f aca="false">MAX($L18-$J18,0)</f>
        <v>250</v>
      </c>
      <c r="N18" s="21" t="n">
        <f aca="false">IFERROR(INDEX('Reference Data'!$F$22:$F$27,MATCH($C18,'Reference Data'!$A$22:$A$27,0)),"N/A")</f>
        <v>500</v>
      </c>
      <c r="O18" s="21" t="n">
        <f aca="false">IF($M18&lt;=0,0,MAX($M18,$N18))</f>
        <v>500</v>
      </c>
      <c r="P18" s="22" t="n">
        <f aca="false">IFERROR(INDEX('Reference Data'!$G$22:$G$27,MATCH($C18,'Reference Data'!$A$22:$A$27,0)),"N/A")</f>
        <v>4</v>
      </c>
      <c r="Q18" s="25" t="n">
        <f aca="false">IFERROR(INDEX('Reference Data'!$C$31:$C$45,MATCH($D18&amp;"|UK",'Reference Data'!$F$31:$F$45,0)),"N/A")</f>
        <v>5</v>
      </c>
      <c r="R18" s="25" t="n">
        <f aca="false">IFERROR(INDEX('Reference Data'!$E$31:$E$45,MATCH($D18&amp;"|UK",'Reference Data'!$F$31:$F$45,0)),"N/A")</f>
        <v>1</v>
      </c>
      <c r="S18" s="25" t="n">
        <f aca="false">$P18+$Q18</f>
        <v>9</v>
      </c>
      <c r="T18" s="25" t="n">
        <f aca="false">$P18+$R18</f>
        <v>5</v>
      </c>
      <c r="U18" s="23" t="str">
        <f aca="false">IF($O18=0,"No Order Needed",IF($S18&lt;=$B$8,"Sea",IF($T18&lt;=$B$8,"Air — Expedite","Air — Still At Risk")))</f>
        <v>Air — Expedite</v>
      </c>
      <c r="V18" s="17" t="n">
        <f aca="false">IF($O18=0,"N/A",$B$4-IF($U18="Sea",$S18,$T18)*7)</f>
        <v>46251</v>
      </c>
      <c r="W18" s="23" t="str">
        <f aca="false">IF($O18=0,"No Restock Needed",IF($U18="Sea","On Track",IF($U18="Air — Expedite","Expedite Required","Critical — May Miss Launch")))</f>
        <v>Expedite Required</v>
      </c>
    </row>
    <row r="19" customFormat="false" ht="15" hidden="false" customHeight="false" outlineLevel="0" collapsed="false">
      <c r="A19" s="20" t="str">
        <f aca="false">'Inventory &amp; Coverage'!A16</f>
        <v>HN-NC-075</v>
      </c>
      <c r="B19" s="20" t="str">
        <f aca="false">'Inventory &amp; Coverage'!B16</f>
        <v>Night Cream 75ml</v>
      </c>
      <c r="C19" s="20" t="str">
        <f aca="false">'Inventory &amp; Coverage'!D16</f>
        <v>Factory A</v>
      </c>
      <c r="D19" s="20" t="str">
        <f aca="false">IFERROR(INDEX('Reference Data'!$B$22:$B$27,MATCH($C19,'Reference Data'!$A$22:$A$27,0)),"N/A")</f>
        <v>Shenzhen</v>
      </c>
      <c r="E19" s="21" t="n">
        <f aca="false">'Inventory &amp; Coverage'!F16</f>
        <v>18</v>
      </c>
      <c r="F19" s="21" t="n">
        <f aca="false">'Inventory &amp; Coverage'!I16</f>
        <v>40</v>
      </c>
      <c r="G19" s="21" t="n">
        <f aca="false">'Inventory &amp; Coverage'!O16</f>
        <v>0</v>
      </c>
      <c r="H19" s="22" t="n">
        <f aca="false">'Inventory &amp; Coverage'!L16</f>
        <v>0.45</v>
      </c>
      <c r="I19" s="23" t="str">
        <f aca="false">'Inventory &amp; Coverage'!M16</f>
        <v>High Risk</v>
      </c>
      <c r="J19" s="21" t="n">
        <f aca="false">MAX($E19-$F19*$B$8,0)+$G19</f>
        <v>0</v>
      </c>
      <c r="K19" s="24" t="n">
        <v>0</v>
      </c>
      <c r="L19" s="21" t="n">
        <f aca="false">$F19*$B$5+$K19</f>
        <v>400</v>
      </c>
      <c r="M19" s="21" t="n">
        <f aca="false">MAX($L19-$J19,0)</f>
        <v>400</v>
      </c>
      <c r="N19" s="21" t="n">
        <f aca="false">IFERROR(INDEX('Reference Data'!$F$22:$F$27,MATCH($C19,'Reference Data'!$A$22:$A$27,0)),"N/A")</f>
        <v>500</v>
      </c>
      <c r="O19" s="21" t="n">
        <f aca="false">IF($M19&lt;=0,0,MAX($M19,$N19))</f>
        <v>500</v>
      </c>
      <c r="P19" s="22" t="n">
        <f aca="false">IFERROR(INDEX('Reference Data'!$G$22:$G$27,MATCH($C19,'Reference Data'!$A$22:$A$27,0)),"N/A")</f>
        <v>3</v>
      </c>
      <c r="Q19" s="25" t="n">
        <f aca="false">IFERROR(INDEX('Reference Data'!$C$31:$C$45,MATCH($D19&amp;"|UK",'Reference Data'!$F$31:$F$45,0)),"N/A")</f>
        <v>5</v>
      </c>
      <c r="R19" s="25" t="n">
        <f aca="false">IFERROR(INDEX('Reference Data'!$E$31:$E$45,MATCH($D19&amp;"|UK",'Reference Data'!$F$31:$F$45,0)),"N/A")</f>
        <v>1</v>
      </c>
      <c r="S19" s="25" t="n">
        <f aca="false">$P19+$Q19</f>
        <v>8</v>
      </c>
      <c r="T19" s="25" t="n">
        <f aca="false">$P19+$R19</f>
        <v>4</v>
      </c>
      <c r="U19" s="23" t="str">
        <f aca="false">IF($O19=0,"No Order Needed",IF($S19&lt;=$B$8,"Sea",IF($T19&lt;=$B$8,"Air — Expedite","Air — Still At Risk")))</f>
        <v>Air — Expedite</v>
      </c>
      <c r="V19" s="17" t="n">
        <f aca="false">IF($O19=0,"N/A",$B$4-IF($U19="Sea",$S19,$T19)*7)</f>
        <v>46258</v>
      </c>
      <c r="W19" s="23" t="str">
        <f aca="false">IF($O19=0,"No Restock Needed",IF($U19="Sea","On Track",IF($U19="Air — Expedite","Expedite Required","Critical — May Miss Launch")))</f>
        <v>Expedite Required</v>
      </c>
    </row>
    <row r="20" customFormat="false" ht="15" hidden="false" customHeight="false" outlineLevel="0" collapsed="false">
      <c r="A20" s="26" t="s">
        <v>47</v>
      </c>
      <c r="B20" s="27"/>
      <c r="C20" s="27"/>
      <c r="D20" s="27"/>
      <c r="E20" s="27"/>
      <c r="F20" s="27"/>
      <c r="G20" s="27"/>
      <c r="H20" s="27"/>
      <c r="I20" s="27"/>
      <c r="J20" s="27"/>
      <c r="K20" s="21" t="n">
        <f aca="false">SUM(K11:K19)</f>
        <v>0</v>
      </c>
      <c r="L20" s="27"/>
      <c r="M20" s="27"/>
      <c r="N20" s="27"/>
      <c r="O20" s="21" t="n">
        <f aca="false">SUM(O11:O19)</f>
        <v>4600</v>
      </c>
      <c r="P20" s="27"/>
      <c r="Q20" s="27"/>
      <c r="R20" s="27"/>
      <c r="S20" s="27"/>
      <c r="T20" s="27"/>
      <c r="U20" s="27"/>
      <c r="V20" s="27"/>
      <c r="W20" s="27"/>
    </row>
    <row r="22" customFormat="false" ht="15" hidden="false" customHeight="false" outlineLevel="0" collapsed="false">
      <c r="A22" s="10" t="s">
        <v>12</v>
      </c>
    </row>
    <row r="23" customFormat="false" ht="15" hidden="false" customHeight="true" outlineLevel="0" collapsed="false">
      <c r="A23" s="11" t="s">
        <v>48</v>
      </c>
      <c r="B23" s="11"/>
      <c r="C23" s="11"/>
      <c r="D23" s="11"/>
      <c r="E23" s="11"/>
      <c r="F23" s="11"/>
      <c r="G23" s="11"/>
      <c r="H23" s="11"/>
      <c r="I23" s="11"/>
      <c r="J23" s="11"/>
      <c r="K23" s="11"/>
      <c r="L23" s="11"/>
      <c r="M23" s="11"/>
      <c r="N23" s="11"/>
      <c r="O23" s="11"/>
      <c r="P23" s="11"/>
      <c r="Q23" s="11"/>
      <c r="R23" s="11"/>
      <c r="S23" s="11"/>
      <c r="T23" s="11"/>
      <c r="U23" s="11"/>
      <c r="V23" s="11"/>
      <c r="W23" s="11"/>
    </row>
    <row r="24" customFormat="false" ht="15" hidden="false" customHeight="true" outlineLevel="0" collapsed="false">
      <c r="A24" s="11" t="s">
        <v>49</v>
      </c>
      <c r="B24" s="11"/>
      <c r="C24" s="11"/>
      <c r="D24" s="11"/>
      <c r="E24" s="11"/>
      <c r="F24" s="11"/>
      <c r="G24" s="11"/>
      <c r="H24" s="11"/>
      <c r="I24" s="11"/>
      <c r="J24" s="11"/>
      <c r="K24" s="11"/>
      <c r="L24" s="11"/>
      <c r="M24" s="11"/>
      <c r="N24" s="11"/>
      <c r="O24" s="11"/>
      <c r="P24" s="11"/>
      <c r="Q24" s="11"/>
      <c r="R24" s="11"/>
      <c r="S24" s="11"/>
      <c r="T24" s="11"/>
      <c r="U24" s="11"/>
      <c r="V24" s="11"/>
      <c r="W24" s="11"/>
    </row>
    <row r="25" customFormat="false" ht="15" hidden="false" customHeight="true" outlineLevel="0" collapsed="false">
      <c r="A25" s="11" t="s">
        <v>50</v>
      </c>
      <c r="B25" s="11"/>
      <c r="C25" s="11"/>
      <c r="D25" s="11"/>
      <c r="E25" s="11"/>
      <c r="F25" s="11"/>
      <c r="G25" s="11"/>
      <c r="H25" s="11"/>
      <c r="I25" s="11"/>
      <c r="J25" s="11"/>
      <c r="K25" s="11"/>
      <c r="L25" s="11"/>
      <c r="M25" s="11"/>
      <c r="N25" s="11"/>
      <c r="O25" s="11"/>
      <c r="P25" s="11"/>
      <c r="Q25" s="11"/>
      <c r="R25" s="11"/>
      <c r="S25" s="11"/>
      <c r="T25" s="11"/>
      <c r="U25" s="11"/>
      <c r="V25" s="11"/>
      <c r="W25" s="11"/>
    </row>
    <row r="26" customFormat="false" ht="15" hidden="false" customHeight="true" outlineLevel="0" collapsed="false">
      <c r="A26" s="11" t="s">
        <v>51</v>
      </c>
      <c r="B26" s="11"/>
      <c r="C26" s="11"/>
      <c r="D26" s="11"/>
      <c r="E26" s="11"/>
      <c r="F26" s="11"/>
      <c r="G26" s="11"/>
      <c r="H26" s="11"/>
      <c r="I26" s="11"/>
      <c r="J26" s="11"/>
      <c r="K26" s="11"/>
      <c r="L26" s="11"/>
      <c r="M26" s="11"/>
      <c r="N26" s="11"/>
      <c r="O26" s="11"/>
      <c r="P26" s="11"/>
      <c r="Q26" s="11"/>
      <c r="R26" s="11"/>
      <c r="S26" s="11"/>
      <c r="T26" s="11"/>
      <c r="U26" s="11"/>
      <c r="V26" s="11"/>
      <c r="W26" s="11"/>
    </row>
    <row r="27" customFormat="false" ht="15" hidden="false" customHeight="true" outlineLevel="0" collapsed="false">
      <c r="A27" s="11" t="s">
        <v>52</v>
      </c>
      <c r="B27" s="11"/>
      <c r="C27" s="11"/>
      <c r="D27" s="11"/>
      <c r="E27" s="11"/>
      <c r="F27" s="11"/>
      <c r="G27" s="11"/>
      <c r="H27" s="11"/>
      <c r="I27" s="11"/>
      <c r="J27" s="11"/>
      <c r="K27" s="11"/>
      <c r="L27" s="11"/>
      <c r="M27" s="11"/>
      <c r="N27" s="11"/>
      <c r="O27" s="11"/>
      <c r="P27" s="11"/>
      <c r="Q27" s="11"/>
      <c r="R27" s="11"/>
      <c r="S27" s="11"/>
      <c r="T27" s="11"/>
      <c r="U27" s="11"/>
      <c r="V27" s="11"/>
      <c r="W27" s="11"/>
    </row>
    <row r="28" customFormat="false" ht="15" hidden="false" customHeight="true" outlineLevel="0" collapsed="false">
      <c r="A28" s="11" t="s">
        <v>53</v>
      </c>
      <c r="B28" s="11"/>
      <c r="C28" s="11"/>
      <c r="D28" s="11"/>
      <c r="E28" s="11"/>
      <c r="F28" s="11"/>
      <c r="G28" s="11"/>
      <c r="H28" s="11"/>
      <c r="I28" s="11"/>
      <c r="J28" s="11"/>
      <c r="K28" s="11"/>
      <c r="L28" s="11"/>
      <c r="M28" s="11"/>
      <c r="N28" s="11"/>
      <c r="O28" s="11"/>
      <c r="P28" s="11"/>
      <c r="Q28" s="11"/>
      <c r="R28" s="11"/>
      <c r="S28" s="11"/>
      <c r="T28" s="11"/>
      <c r="U28" s="11"/>
      <c r="V28" s="11"/>
      <c r="W28" s="11"/>
    </row>
    <row r="29" customFormat="false" ht="15" hidden="false" customHeight="true" outlineLevel="0" collapsed="false">
      <c r="A29" s="11" t="s">
        <v>54</v>
      </c>
      <c r="B29" s="11"/>
      <c r="C29" s="11"/>
      <c r="D29" s="11"/>
      <c r="E29" s="11"/>
      <c r="F29" s="11"/>
      <c r="G29" s="11"/>
      <c r="H29" s="11"/>
      <c r="I29" s="11"/>
      <c r="J29" s="11"/>
      <c r="K29" s="11"/>
      <c r="L29" s="11"/>
      <c r="M29" s="11"/>
      <c r="N29" s="11"/>
      <c r="O29" s="11"/>
      <c r="P29" s="11"/>
      <c r="Q29" s="11"/>
      <c r="R29" s="11"/>
      <c r="S29" s="11"/>
      <c r="T29" s="11"/>
      <c r="U29" s="11"/>
      <c r="V29" s="11"/>
      <c r="W29" s="11"/>
    </row>
  </sheetData>
  <mergeCells count="8">
    <mergeCell ref="A1:W1"/>
    <mergeCell ref="A23:W23"/>
    <mergeCell ref="A24:W24"/>
    <mergeCell ref="A25:W25"/>
    <mergeCell ref="A26:W26"/>
    <mergeCell ref="A27:W27"/>
    <mergeCell ref="A28:W28"/>
    <mergeCell ref="A29:W29"/>
  </mergeCells>
  <conditionalFormatting sqref="I11:I19">
    <cfRule type="cellIs" priority="2" operator="equal" aboveAverage="0" equalAverage="0" bottom="0" percent="0" rank="0" text="" dxfId="1">
      <formula>"High Risk"</formula>
    </cfRule>
    <cfRule type="cellIs" priority="3" operator="equal" aboveAverage="0" equalAverage="0" bottom="0" percent="0" rank="0" text="" dxfId="0">
      <formula>"Medium Risk"</formula>
    </cfRule>
    <cfRule type="cellIs" priority="4" operator="equal" aboveAverage="0" equalAverage="0" bottom="0" percent="0" rank="0" text="" dxfId="2">
      <formula>"Low Risk"</formula>
    </cfRule>
  </conditionalFormatting>
  <conditionalFormatting sqref="W11:W19">
    <cfRule type="cellIs" priority="5" operator="equal" aboveAverage="0" equalAverage="0" bottom="0" percent="0" rank="0" text="" dxfId="2">
      <formula>"On Track"</formula>
    </cfRule>
    <cfRule type="cellIs" priority="6" operator="equal" aboveAverage="0" equalAverage="0" bottom="0" percent="0" rank="0" text="" dxfId="0">
      <formula>"Expedite Required"</formula>
    </cfRule>
    <cfRule type="cellIs" priority="7" operator="equal" aboveAverage="0" equalAverage="0" bottom="0" percent="0" rank="0" text="" dxfId="1">
      <formula>"Critical — May Miss Launch"</formula>
    </cfRule>
  </conditionalFormatting>
  <conditionalFormatting sqref="K11:K19">
    <cfRule type="cellIs" priority="8"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2"/>
    <col collapsed="false" customWidth="true" hidden="false" outlineLevel="0" max="4" min="4" style="0" width="20"/>
    <col collapsed="false" customWidth="true" hidden="false" outlineLevel="0" max="5" min="5" style="0" width="8"/>
    <col collapsed="false" customWidth="true" hidden="false" outlineLevel="0" max="6" min="6" style="0" width="30"/>
    <col collapsed="false" customWidth="true" hidden="false" outlineLevel="0" max="7" min="7" style="0" width="12"/>
    <col collapsed="false" customWidth="true" hidden="false" outlineLevel="0" max="8" min="8" style="0" width="15"/>
    <col collapsed="false" customWidth="true" hidden="false" outlineLevel="0" max="9" min="9" style="0" width="18"/>
    <col collapsed="false" customWidth="true" hidden="false" outlineLevel="0" max="10" min="10" style="0" width="40"/>
    <col collapsed="false" customWidth="true" hidden="false" outlineLevel="0" max="11" min="11" style="0" width="44"/>
    <col collapsed="false" customWidth="true" hidden="false" outlineLevel="0" max="12" min="12" style="0" width="20"/>
  </cols>
  <sheetData>
    <row r="1" customFormat="false" ht="25.5" hidden="false" customHeight="true" outlineLevel="0" collapsed="false">
      <c r="A1" s="1" t="s">
        <v>55</v>
      </c>
      <c r="B1" s="1"/>
      <c r="C1" s="1"/>
      <c r="D1" s="1"/>
      <c r="E1" s="1"/>
      <c r="F1" s="1"/>
      <c r="G1" s="1"/>
      <c r="H1" s="1"/>
      <c r="I1" s="1"/>
      <c r="J1" s="1"/>
      <c r="K1" s="1"/>
      <c r="L1" s="1"/>
    </row>
    <row r="3" customFormat="false" ht="15" hidden="false" customHeight="false" outlineLevel="0" collapsed="false">
      <c r="A3" s="2" t="s">
        <v>56</v>
      </c>
      <c r="B3" s="2"/>
      <c r="C3" s="2"/>
      <c r="D3" s="2"/>
      <c r="E3" s="2"/>
      <c r="F3" s="2"/>
      <c r="G3" s="2"/>
      <c r="H3" s="2"/>
      <c r="I3" s="2"/>
      <c r="J3" s="2"/>
      <c r="K3" s="2"/>
      <c r="L3" s="2"/>
    </row>
    <row r="5" customFormat="false" ht="30" hidden="false" customHeight="true" outlineLevel="0" collapsed="false">
      <c r="A5" s="19" t="s">
        <v>57</v>
      </c>
      <c r="B5" s="19" t="s">
        <v>26</v>
      </c>
      <c r="C5" s="19" t="s">
        <v>24</v>
      </c>
      <c r="D5" s="19" t="s">
        <v>25</v>
      </c>
      <c r="E5" s="19" t="s">
        <v>58</v>
      </c>
      <c r="F5" s="19" t="s">
        <v>59</v>
      </c>
      <c r="G5" s="19" t="s">
        <v>60</v>
      </c>
      <c r="H5" s="19" t="s">
        <v>61</v>
      </c>
      <c r="I5" s="19" t="s">
        <v>62</v>
      </c>
      <c r="J5" s="19" t="s">
        <v>63</v>
      </c>
      <c r="K5" s="19" t="s">
        <v>64</v>
      </c>
      <c r="L5" s="19" t="s">
        <v>65</v>
      </c>
    </row>
    <row r="6" customFormat="false" ht="15" hidden="false" customHeight="false" outlineLevel="0" collapsed="false">
      <c r="A6" s="20" t="str">
        <f aca="false">'Purchase Orders'!A6</f>
        <v>PO-410</v>
      </c>
      <c r="B6" s="20" t="str">
        <f aca="false">'Purchase Orders'!B6</f>
        <v>Factory A</v>
      </c>
      <c r="C6" s="20" t="str">
        <f aca="false">'Purchase Orders'!D6</f>
        <v>HN-RB-300</v>
      </c>
      <c r="D6" s="20" t="str">
        <f aca="false">'Purchase Orders'!E6</f>
        <v>Recovery Balm 300ml</v>
      </c>
      <c r="E6" s="21" t="n">
        <f aca="false">'Purchase Orders'!F6</f>
        <v>500</v>
      </c>
      <c r="F6" s="20" t="str">
        <f aca="false">'Purchase Orders'!G6</f>
        <v>In production — on track</v>
      </c>
      <c r="G6" s="23" t="str">
        <f aca="false">'Purchase Orders'!O6</f>
        <v>Low Risk</v>
      </c>
      <c r="H6" s="23" t="str">
        <f aca="false">'Purchase Orders'!H6</f>
        <v>HK</v>
      </c>
      <c r="I6" s="23" t="str">
        <f aca="false">IF(IFERROR(INDEX('Inventory &amp; Coverage'!$M$8:$M$16,MATCH($C6,'Inventory &amp; Coverage'!$A$8:$A$16,0)),"")="High Risk","Yes — UK Critical SKU","No")</f>
        <v>Yes — UK Critical SKU</v>
      </c>
      <c r="J6" s="23" t="str">
        <f aca="false">IF($G6="Low Risk","No","Yes")</f>
        <v>No</v>
      </c>
      <c r="K6" s="20" t="str">
        <f aca="false">IF(ISNUMBER(SEARCH("delayed",$F6)),"Contact factory for a revised production timeline. If this is a UK-critical SKU, evaluate air freight or a backup factory to recover schedule.",IF(ISNUMBER(SEARCH("Unconfirmed",$F6)),"Escalate to factory immediately — no confirmation received. Confirm the production slot or reallocate the PO to a backup factory.",IF(ISNUMBER(SEARCH("Completed",$F6)),"Issue shipping instructions now. Goods are finished and awaiting dispatch — assign a destination and carrier immediately to avoid storage delays.",IF(ISNUMBER(SEARCH("on track",$F6)),"No follow-up needed — monitor for on-time delivery.","Review PO status manually."))))</f>
        <v>No follow-up needed — monitor for on-time delivery.</v>
      </c>
      <c r="L6" s="23" t="str">
        <f aca="false">IF(AND($G6&lt;&gt;"Low Risk",$I6="Yes — UK Critical SKU"),"Urgent — UK Launch Impact",IF($G6="High Risk","High",IF($G6="Medium Risk","Medium","Low")))</f>
        <v>Low</v>
      </c>
    </row>
    <row r="7" customFormat="false" ht="15" hidden="false" customHeight="false" outlineLevel="0" collapsed="false">
      <c r="A7" s="20" t="str">
        <f aca="false">'Purchase Orders'!A7</f>
        <v>PO-411</v>
      </c>
      <c r="B7" s="20" t="str">
        <f aca="false">'Purchase Orders'!B7</f>
        <v>Factory A</v>
      </c>
      <c r="C7" s="20" t="str">
        <f aca="false">'Purchase Orders'!D7</f>
        <v>HN-NC-075</v>
      </c>
      <c r="D7" s="20" t="str">
        <f aca="false">'Purchase Orders'!E7</f>
        <v>Night Cream 75ml</v>
      </c>
      <c r="E7" s="21" t="n">
        <f aca="false">'Purchase Orders'!F7</f>
        <v>500</v>
      </c>
      <c r="F7" s="20" t="str">
        <f aca="false">'Purchase Orders'!G7</f>
        <v>In production — on track</v>
      </c>
      <c r="G7" s="23" t="str">
        <f aca="false">'Purchase Orders'!O7</f>
        <v>Low Risk</v>
      </c>
      <c r="H7" s="23" t="str">
        <f aca="false">'Purchase Orders'!H7</f>
        <v>US</v>
      </c>
      <c r="I7" s="23" t="str">
        <f aca="false">IF(IFERROR(INDEX('Inventory &amp; Coverage'!$M$8:$M$16,MATCH($C7,'Inventory &amp; Coverage'!$A$8:$A$16,0)),"")="High Risk","Yes — UK Critical SKU","No")</f>
        <v>Yes — UK Critical SKU</v>
      </c>
      <c r="J7" s="23" t="str">
        <f aca="false">IF($G7="Low Risk","No","Yes")</f>
        <v>No</v>
      </c>
      <c r="K7" s="20" t="str">
        <f aca="false">IF(ISNUMBER(SEARCH("delayed",$F7)),"Contact factory for a revised production timeline. If this is a UK-critical SKU, evaluate air freight or a backup factory to recover schedule.",IF(ISNUMBER(SEARCH("Unconfirmed",$F7)),"Escalate to factory immediately — no confirmation received. Confirm the production slot or reallocate the PO to a backup factory.",IF(ISNUMBER(SEARCH("Completed",$F7)),"Issue shipping instructions now. Goods are finished and awaiting dispatch — assign a destination and carrier immediately to avoid storage delays.",IF(ISNUMBER(SEARCH("on track",$F7)),"No follow-up needed — monitor for on-time delivery.","Review PO status manually."))))</f>
        <v>No follow-up needed — monitor for on-time delivery.</v>
      </c>
      <c r="L7" s="23" t="str">
        <f aca="false">IF(AND($G7&lt;&gt;"Low Risk",$I7="Yes — UK Critical SKU"),"Urgent — UK Launch Impact",IF($G7="High Risk","High",IF($G7="Medium Risk","Medium","Low")))</f>
        <v>Low</v>
      </c>
    </row>
    <row r="8" customFormat="false" ht="15" hidden="false" customHeight="false" outlineLevel="0" collapsed="false">
      <c r="A8" s="20" t="str">
        <f aca="false">'Purchase Orders'!A8</f>
        <v>PO-412</v>
      </c>
      <c r="B8" s="20" t="str">
        <f aca="false">'Purchase Orders'!B8</f>
        <v>Factory C</v>
      </c>
      <c r="C8" s="20" t="str">
        <f aca="false">'Purchase Orders'!D8</f>
        <v>HN-HM-100</v>
      </c>
      <c r="D8" s="20" t="str">
        <f aca="false">'Purchase Orders'!E8</f>
        <v>Hair Mask 100ml</v>
      </c>
      <c r="E8" s="21" t="n">
        <f aca="false">'Purchase Orders'!F8</f>
        <v>300</v>
      </c>
      <c r="F8" s="20" t="str">
        <f aca="false">'Purchase Orders'!G8</f>
        <v>Production delayed — raw material shortage</v>
      </c>
      <c r="G8" s="23" t="str">
        <f aca="false">'Purchase Orders'!O8</f>
        <v>High Risk</v>
      </c>
      <c r="H8" s="23" t="str">
        <f aca="false">'Purchase Orders'!H8</f>
        <v>Unknown</v>
      </c>
      <c r="I8" s="23" t="str">
        <f aca="false">IF(IFERROR(INDEX('Inventory &amp; Coverage'!$M$8:$M$16,MATCH($C8,'Inventory &amp; Coverage'!$A$8:$A$16,0)),"")="High Risk","Yes — UK Critical SKU","No")</f>
        <v>Yes — UK Critical SKU</v>
      </c>
      <c r="J8" s="23" t="str">
        <f aca="false">IF($G8="Low Risk","No","Yes")</f>
        <v>Yes</v>
      </c>
      <c r="K8" s="20" t="str">
        <f aca="false">IF(ISNUMBER(SEARCH("delayed",$F8)),"Contact factory for a revised production timeline. If this is a UK-critical SKU, evaluate air freight or a backup factory to recover schedule.",IF(ISNUMBER(SEARCH("Unconfirmed",$F8)),"Escalate to factory immediately — no confirmation received. Confirm the production slot or reallocate the PO to a backup factory.",IF(ISNUMBER(SEARCH("Completed",$F8)),"Issue shipping instructions now. Goods are finished and awaiting dispatch — assign a destination and carrier immediately to avoid storage delays.",IF(ISNUMBER(SEARCH("on track",$F8)),"No follow-up needed — monitor for on-time delivery.","Review PO status manually."))))</f>
        <v>Contact factory for a revised production timeline. If this is a UK-critical SKU, evaluate air freight or a backup factory to recover schedule.</v>
      </c>
      <c r="L8" s="23" t="str">
        <f aca="false">IF(AND($G8&lt;&gt;"Low Risk",$I8="Yes — UK Critical SKU"),"Urgent — UK Launch Impact",IF($G8="High Risk","High",IF($G8="Medium Risk","Medium","Low")))</f>
        <v>Urgent — UK Launch Impact</v>
      </c>
    </row>
    <row r="9" customFormat="false" ht="15" hidden="false" customHeight="false" outlineLevel="0" collapsed="false">
      <c r="A9" s="20" t="str">
        <f aca="false">'Purchase Orders'!A9</f>
        <v>PO-413</v>
      </c>
      <c r="B9" s="20" t="str">
        <f aca="false">'Purchase Orders'!B9</f>
        <v>Factory D</v>
      </c>
      <c r="C9" s="20" t="str">
        <f aca="false">'Purchase Orders'!D9</f>
        <v>HN-LB-250</v>
      </c>
      <c r="D9" s="20" t="str">
        <f aca="false">'Purchase Orders'!E9</f>
        <v>Lip Balm 3-Pack</v>
      </c>
      <c r="E9" s="21" t="n">
        <f aca="false">'Purchase Orders'!F9</f>
        <v>1000</v>
      </c>
      <c r="F9" s="20" t="str">
        <f aca="false">'Purchase Orders'!G9</f>
        <v>Completed — ready for pickup</v>
      </c>
      <c r="G9" s="23" t="str">
        <f aca="false">'Purchase Orders'!O9</f>
        <v>Medium Risk</v>
      </c>
      <c r="H9" s="23" t="str">
        <f aca="false">'Purchase Orders'!H9</f>
        <v>Unknown</v>
      </c>
      <c r="I9" s="23" t="str">
        <f aca="false">IF(IFERROR(INDEX('Inventory &amp; Coverage'!$M$8:$M$16,MATCH($C9,'Inventory &amp; Coverage'!$A$8:$A$16,0)),"")="High Risk","Yes — UK Critical SKU","No")</f>
        <v>Yes — UK Critical SKU</v>
      </c>
      <c r="J9" s="23" t="str">
        <f aca="false">IF($G9="Low Risk","No","Yes")</f>
        <v>Yes</v>
      </c>
      <c r="K9" s="20" t="str">
        <f aca="false">IF(ISNUMBER(SEARCH("delayed",$F9)),"Contact factory for a revised production timeline. If this is a UK-critical SKU, evaluate air freight or a backup factory to recover schedule.",IF(ISNUMBER(SEARCH("Unconfirmed",$F9)),"Escalate to factory immediately — no confirmation received. Confirm the production slot or reallocate the PO to a backup factory.",IF(ISNUMBER(SEARCH("Completed",$F9)),"Issue shipping instructions now. Goods are finished and awaiting dispatch — assign a destination and carrier immediately to avoid storage delays.",IF(ISNUMBER(SEARCH("on track",$F9)),"No follow-up needed — monitor for on-time delivery.","Review PO status manually."))))</f>
        <v>Issue shipping instructions now. Goods are finished and awaiting dispatch — assign a destination and carrier immediately to avoid storage delays.</v>
      </c>
      <c r="L9" s="23" t="str">
        <f aca="false">IF(AND($G9&lt;&gt;"Low Risk",$I9="Yes — UK Critical SKU"),"Urgent — UK Launch Impact",IF($G9="High Risk","High",IF($G9="Medium Risk","Medium","Low")))</f>
        <v>Urgent — UK Launch Impact</v>
      </c>
    </row>
    <row r="10" customFormat="false" ht="15" hidden="false" customHeight="false" outlineLevel="0" collapsed="false">
      <c r="A10" s="20" t="str">
        <f aca="false">'Purchase Orders'!A10</f>
        <v>PO-414</v>
      </c>
      <c r="B10" s="20" t="str">
        <f aca="false">'Purchase Orders'!B10</f>
        <v>Factory E</v>
      </c>
      <c r="C10" s="20" t="str">
        <f aca="false">'Purchase Orders'!D10</f>
        <v>HN-EO-030</v>
      </c>
      <c r="D10" s="20" t="str">
        <f aca="false">'Purchase Orders'!E10</f>
        <v>Essential Oil Blend 30ml</v>
      </c>
      <c r="E10" s="21" t="n">
        <f aca="false">'Purchase Orders'!F10</f>
        <v>200</v>
      </c>
      <c r="F10" s="20" t="str">
        <f aca="false">'Purchase Orders'!G10</f>
        <v>Unconfirmed — awaiting factory response (4 days)</v>
      </c>
      <c r="G10" s="23" t="str">
        <f aca="false">'Purchase Orders'!O10</f>
        <v>High Risk</v>
      </c>
      <c r="H10" s="23" t="str">
        <f aca="false">'Purchase Orders'!H10</f>
        <v>Unknown</v>
      </c>
      <c r="I10" s="23" t="str">
        <f aca="false">IF(IFERROR(INDEX('Inventory &amp; Coverage'!$M$8:$M$16,MATCH($C10,'Inventory &amp; Coverage'!$A$8:$A$16,0)),"")="High Risk","Yes — UK Critical SKU","No")</f>
        <v>Yes — UK Critical SKU</v>
      </c>
      <c r="J10" s="23" t="str">
        <f aca="false">IF($G10="Low Risk","No","Yes")</f>
        <v>Yes</v>
      </c>
      <c r="K10" s="20" t="str">
        <f aca="false">IF(ISNUMBER(SEARCH("delayed",$F10)),"Contact factory for a revised production timeline. If this is a UK-critical SKU, evaluate air freight or a backup factory to recover schedule.",IF(ISNUMBER(SEARCH("Unconfirmed",$F10)),"Escalate to factory immediately — no confirmation received. Confirm the production slot or reallocate the PO to a backup factory.",IF(ISNUMBER(SEARCH("Completed",$F10)),"Issue shipping instructions now. Goods are finished and awaiting dispatch — assign a destination and carrier immediately to avoid storage delays.",IF(ISNUMBER(SEARCH("on track",$F10)),"No follow-up needed — monitor for on-time delivery.","Review PO status manually."))))</f>
        <v>Escalate to factory immediately — no confirmation received. Confirm the production slot or reallocate the PO to a backup factory.</v>
      </c>
      <c r="L10" s="23" t="str">
        <f aca="false">IF(AND($G10&lt;&gt;"Low Risk",$I10="Yes — UK Critical SKU"),"Urgent — UK Launch Impact",IF($G10="High Risk","High",IF($G10="Medium Risk","Medium","Low")))</f>
        <v>Urgent — UK Launch Impact</v>
      </c>
    </row>
    <row r="11" customFormat="false" ht="15" hidden="false" customHeight="false" outlineLevel="0" collapsed="false">
      <c r="A11" s="20" t="str">
        <f aca="false">'Purchase Orders'!A11</f>
        <v>PO-415</v>
      </c>
      <c r="B11" s="20" t="str">
        <f aca="false">'Purchase Orders'!B11</f>
        <v>Factory F</v>
      </c>
      <c r="C11" s="20" t="str">
        <f aca="false">'Purchase Orders'!D11</f>
        <v>HN-BC-400</v>
      </c>
      <c r="D11" s="20" t="str">
        <f aca="false">'Purchase Orders'!E11</f>
        <v>Bath Crystals 400g</v>
      </c>
      <c r="E11" s="21" t="n">
        <f aca="false">'Purchase Orders'!F11</f>
        <v>500</v>
      </c>
      <c r="F11" s="20" t="str">
        <f aca="false">'Purchase Orders'!G11</f>
        <v>In production — on track</v>
      </c>
      <c r="G11" s="23" t="str">
        <f aca="false">'Purchase Orders'!O11</f>
        <v>Low Risk</v>
      </c>
      <c r="H11" s="23" t="str">
        <f aca="false">'Purchase Orders'!H11</f>
        <v>US</v>
      </c>
      <c r="I11" s="23" t="str">
        <f aca="false">IF(IFERROR(INDEX('Inventory &amp; Coverage'!$M$8:$M$16,MATCH($C11,'Inventory &amp; Coverage'!$A$8:$A$16,0)),"")="High Risk","Yes — UK Critical SKU","No")</f>
        <v>Yes — UK Critical SKU</v>
      </c>
      <c r="J11" s="23" t="str">
        <f aca="false">IF($G11="Low Risk","No","Yes")</f>
        <v>No</v>
      </c>
      <c r="K11" s="20" t="str">
        <f aca="false">IF(ISNUMBER(SEARCH("delayed",$F11)),"Contact factory for a revised production timeline. If this is a UK-critical SKU, evaluate air freight or a backup factory to recover schedule.",IF(ISNUMBER(SEARCH("Unconfirmed",$F11)),"Escalate to factory immediately — no confirmation received. Confirm the production slot or reallocate the PO to a backup factory.",IF(ISNUMBER(SEARCH("Completed",$F11)),"Issue shipping instructions now. Goods are finished and awaiting dispatch — assign a destination and carrier immediately to avoid storage delays.",IF(ISNUMBER(SEARCH("on track",$F11)),"No follow-up needed — monitor for on-time delivery.","Review PO status manually."))))</f>
        <v>No follow-up needed — monitor for on-time delivery.</v>
      </c>
      <c r="L11" s="23" t="str">
        <f aca="false">IF(AND($G11&lt;&gt;"Low Risk",$I11="Yes — UK Critical SKU"),"Urgent — UK Launch Impact",IF($G11="High Risk","High",IF($G11="Medium Risk","Medium","Low")))</f>
        <v>Low</v>
      </c>
    </row>
    <row r="13" customFormat="false" ht="15" hidden="false" customHeight="false" outlineLevel="0" collapsed="false">
      <c r="A13" s="10" t="s">
        <v>12</v>
      </c>
    </row>
    <row r="14" customFormat="false" ht="15" hidden="false" customHeight="true" outlineLevel="0" collapsed="false">
      <c r="A14" s="11" t="s">
        <v>66</v>
      </c>
      <c r="B14" s="11"/>
      <c r="C14" s="11"/>
      <c r="D14" s="11"/>
      <c r="E14" s="11"/>
      <c r="F14" s="11"/>
      <c r="G14" s="11"/>
      <c r="H14" s="11"/>
      <c r="I14" s="11"/>
      <c r="J14" s="11"/>
      <c r="K14" s="11"/>
      <c r="L14" s="11"/>
    </row>
    <row r="15" customFormat="false" ht="15" hidden="false" customHeight="true" outlineLevel="0" collapsed="false">
      <c r="A15" s="11" t="s">
        <v>67</v>
      </c>
      <c r="B15" s="11"/>
      <c r="C15" s="11"/>
      <c r="D15" s="11"/>
      <c r="E15" s="11"/>
      <c r="F15" s="11"/>
      <c r="G15" s="11"/>
      <c r="H15" s="11"/>
      <c r="I15" s="11"/>
      <c r="J15" s="11"/>
      <c r="K15" s="11"/>
      <c r="L15" s="11"/>
    </row>
    <row r="16" customFormat="false" ht="15" hidden="false" customHeight="true" outlineLevel="0" collapsed="false">
      <c r="A16" s="11" t="s">
        <v>68</v>
      </c>
      <c r="B16" s="11"/>
      <c r="C16" s="11"/>
      <c r="D16" s="11"/>
      <c r="E16" s="11"/>
      <c r="F16" s="11"/>
      <c r="G16" s="11"/>
      <c r="H16" s="11"/>
      <c r="I16" s="11"/>
      <c r="J16" s="11"/>
      <c r="K16" s="11"/>
      <c r="L16" s="11"/>
    </row>
    <row r="17" customFormat="false" ht="15" hidden="false" customHeight="true" outlineLevel="0" collapsed="false">
      <c r="A17" s="11" t="s">
        <v>69</v>
      </c>
      <c r="B17" s="11"/>
      <c r="C17" s="11"/>
      <c r="D17" s="11"/>
      <c r="E17" s="11"/>
      <c r="F17" s="11"/>
      <c r="G17" s="11"/>
      <c r="H17" s="11"/>
      <c r="I17" s="11"/>
      <c r="J17" s="11"/>
      <c r="K17" s="11"/>
      <c r="L17" s="11"/>
    </row>
  </sheetData>
  <mergeCells count="6">
    <mergeCell ref="A1:L1"/>
    <mergeCell ref="A3:L3"/>
    <mergeCell ref="A14:L14"/>
    <mergeCell ref="A15:L15"/>
    <mergeCell ref="A16:L16"/>
    <mergeCell ref="A17:L17"/>
  </mergeCells>
  <conditionalFormatting sqref="G6:G11">
    <cfRule type="cellIs" priority="2" operator="equal" aboveAverage="0" equalAverage="0" bottom="0" percent="0" rank="0" text="" dxfId="1">
      <formula>"High Risk"</formula>
    </cfRule>
    <cfRule type="cellIs" priority="3" operator="equal" aboveAverage="0" equalAverage="0" bottom="0" percent="0" rank="0" text="" dxfId="0">
      <formula>"Medium Risk"</formula>
    </cfRule>
    <cfRule type="cellIs" priority="4" operator="equal" aboveAverage="0" equalAverage="0" bottom="0" percent="0" rank="0" text="" dxfId="2">
      <formula>"Low Risk"</formula>
    </cfRule>
  </conditionalFormatting>
  <conditionalFormatting sqref="J6:J11">
    <cfRule type="cellIs" priority="5" operator="equal" aboveAverage="0" equalAverage="0" bottom="0" percent="0" rank="0" text="" dxfId="1">
      <formula>"Yes"</formula>
    </cfRule>
  </conditionalFormatting>
  <conditionalFormatting sqref="L6:L11">
    <cfRule type="cellIs" priority="6" operator="equal" aboveAverage="0" equalAverage="0" bottom="0" percent="0" rank="0" text="" dxfId="3">
      <formula>"Urgent — UK Launch Impact"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P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5"/>
    <col collapsed="false" customWidth="true" hidden="false" outlineLevel="0" max="4" min="4" style="0" width="12"/>
    <col collapsed="false" customWidth="true" hidden="false" outlineLevel="0" max="5" min="5" style="0" width="20"/>
    <col collapsed="false" customWidth="true" hidden="false" outlineLevel="0" max="6" min="6" style="0" width="8"/>
    <col collapsed="false" customWidth="true" hidden="false" outlineLevel="0" max="7" min="7" style="0" width="30"/>
    <col collapsed="false" customWidth="true" hidden="false" outlineLevel="0" max="8" min="8" style="0" width="12"/>
    <col collapsed="false" customWidth="true" hidden="false" outlineLevel="0" max="9" min="9" style="0" width="11"/>
    <col collapsed="false" customWidth="true" hidden="false" outlineLevel="0" max="10" min="10" style="0" width="26"/>
    <col collapsed="false" customWidth="true" hidden="false" outlineLevel="0" max="13" min="11" style="0" width="12"/>
    <col collapsed="false" customWidth="true" hidden="false" outlineLevel="0" max="14" min="14" style="0" width="14"/>
    <col collapsed="false" customWidth="true" hidden="false" outlineLevel="0" max="16" min="15" style="0" width="13"/>
  </cols>
  <sheetData>
    <row r="1" customFormat="false" ht="25.5" hidden="false" customHeight="true" outlineLevel="0" collapsed="false">
      <c r="A1" s="1" t="s">
        <v>70</v>
      </c>
      <c r="B1" s="1"/>
      <c r="C1" s="1"/>
      <c r="D1" s="1"/>
      <c r="E1" s="1"/>
      <c r="F1" s="1"/>
      <c r="G1" s="1"/>
      <c r="H1" s="1"/>
      <c r="I1" s="1"/>
      <c r="J1" s="1"/>
      <c r="K1" s="1"/>
      <c r="L1" s="1"/>
      <c r="M1" s="1"/>
      <c r="N1" s="1"/>
      <c r="O1" s="1"/>
      <c r="P1" s="1"/>
    </row>
    <row r="3" customFormat="false" ht="15" hidden="false" customHeight="false" outlineLevel="0" collapsed="false">
      <c r="A3" s="2" t="s">
        <v>71</v>
      </c>
      <c r="B3" s="2"/>
      <c r="C3" s="2"/>
      <c r="D3" s="2"/>
      <c r="E3" s="2"/>
      <c r="F3" s="2"/>
      <c r="G3" s="2"/>
      <c r="H3" s="2"/>
      <c r="I3" s="2"/>
      <c r="J3" s="2"/>
      <c r="K3" s="2"/>
      <c r="L3" s="2"/>
      <c r="M3" s="2"/>
      <c r="N3" s="2"/>
      <c r="O3" s="2"/>
      <c r="P3" s="2"/>
    </row>
    <row r="5" customFormat="false" ht="30" hidden="false" customHeight="true" outlineLevel="0" collapsed="false">
      <c r="A5" s="19" t="s">
        <v>57</v>
      </c>
      <c r="B5" s="19" t="s">
        <v>26</v>
      </c>
      <c r="C5" s="19" t="s">
        <v>27</v>
      </c>
      <c r="D5" s="19" t="s">
        <v>24</v>
      </c>
      <c r="E5" s="19" t="s">
        <v>25</v>
      </c>
      <c r="F5" s="19" t="s">
        <v>58</v>
      </c>
      <c r="G5" s="19" t="s">
        <v>59</v>
      </c>
      <c r="H5" s="19" t="s">
        <v>61</v>
      </c>
      <c r="I5" s="19" t="s">
        <v>72</v>
      </c>
      <c r="J5" s="19" t="s">
        <v>73</v>
      </c>
      <c r="K5" s="19" t="s">
        <v>74</v>
      </c>
      <c r="L5" s="19" t="s">
        <v>75</v>
      </c>
      <c r="M5" s="19" t="s">
        <v>76</v>
      </c>
      <c r="N5" s="19" t="s">
        <v>77</v>
      </c>
      <c r="O5" s="19" t="s">
        <v>78</v>
      </c>
      <c r="P5" s="19" t="s">
        <v>79</v>
      </c>
    </row>
    <row r="6" customFormat="false" ht="15" hidden="false" customHeight="false" outlineLevel="0" collapsed="false">
      <c r="A6" s="28" t="s">
        <v>80</v>
      </c>
      <c r="B6" s="28" t="s">
        <v>81</v>
      </c>
      <c r="C6" s="20" t="str">
        <f aca="false">IFERROR(INDEX('Reference Data'!$B$22:$B$27,MATCH(B6,'Reference Data'!$A$22:$A$27,0)),"N/A")</f>
        <v>Shenzhen</v>
      </c>
      <c r="D6" s="28" t="s">
        <v>82</v>
      </c>
      <c r="E6" s="20" t="str">
        <f aca="false">IFERROR(INDEX('Reference Data'!$B$10:$B$18,MATCH(D6,'Reference Data'!$A$10:$A$18,0)),"N/A")</f>
        <v>Recovery Balm 300ml</v>
      </c>
      <c r="F6" s="29" t="n">
        <v>500</v>
      </c>
      <c r="G6" s="28" t="s">
        <v>83</v>
      </c>
      <c r="H6" s="30" t="s">
        <v>84</v>
      </c>
      <c r="I6" s="30" t="s">
        <v>85</v>
      </c>
      <c r="J6" s="28" t="s">
        <v>86</v>
      </c>
      <c r="K6" s="31" t="n">
        <v>3.5</v>
      </c>
      <c r="L6" s="32" t="n">
        <f aca="false">IFERROR(INDEX('Reference Data'!$C$31:$C$45,MATCH($C6&amp;"|"&amp;$H6,'Reference Data'!$F$31:$F$45,0)),"N/A")</f>
        <v>0.285714285714286</v>
      </c>
      <c r="M6" s="32" t="n">
        <f aca="false">IFERROR(INDEX('Reference Data'!$E$31:$E$45,MATCH($C6&amp;"|"&amp;$H6,'Reference Data'!$F$31:$F$45,0)),"N/A")</f>
        <v>0.142857142857143</v>
      </c>
      <c r="N6" s="32" t="n">
        <f aca="false">IF(I6="Air",M6,IF(I6="Sea",L6,"N/A"))</f>
        <v>0.285714285714286</v>
      </c>
      <c r="O6" s="23" t="str">
        <f aca="false">IF(ISNUMBER(SEARCH("delayed",G6)),"High Risk",IF(ISNUMBER(SEARCH("Unconfirmed",G6)),"High Risk",IF(ISNUMBER(SEARCH("Completed",G6)),"Medium Risk",IF(ISNUMBER(SEARCH("on track",G6)),"Low Risk","Review"))))</f>
        <v>Low Risk</v>
      </c>
      <c r="P6" s="23" t="str">
        <f aca="false">IF(H6="UK","Yes","No")</f>
        <v>No</v>
      </c>
    </row>
    <row r="7" customFormat="false" ht="15" hidden="false" customHeight="false" outlineLevel="0" collapsed="false">
      <c r="A7" s="28" t="s">
        <v>87</v>
      </c>
      <c r="B7" s="28" t="s">
        <v>81</v>
      </c>
      <c r="C7" s="20" t="str">
        <f aca="false">IFERROR(INDEX('Reference Data'!$B$22:$B$27,MATCH(B7,'Reference Data'!$A$22:$A$27,0)),"N/A")</f>
        <v>Shenzhen</v>
      </c>
      <c r="D7" s="28" t="s">
        <v>88</v>
      </c>
      <c r="E7" s="20" t="str">
        <f aca="false">IFERROR(INDEX('Reference Data'!$B$10:$B$18,MATCH(D7,'Reference Data'!$A$10:$A$18,0)),"N/A")</f>
        <v>Night Cream 75ml</v>
      </c>
      <c r="F7" s="29" t="n">
        <v>500</v>
      </c>
      <c r="G7" s="28" t="s">
        <v>83</v>
      </c>
      <c r="H7" s="30" t="s">
        <v>89</v>
      </c>
      <c r="I7" s="30" t="s">
        <v>85</v>
      </c>
      <c r="J7" s="28" t="s">
        <v>90</v>
      </c>
      <c r="K7" s="31" t="n">
        <v>4</v>
      </c>
      <c r="L7" s="32" t="n">
        <f aca="false">IFERROR(INDEX('Reference Data'!$C$31:$C$45,MATCH($C7&amp;"|"&amp;$H7,'Reference Data'!$F$31:$F$45,0)),"N/A")</f>
        <v>3</v>
      </c>
      <c r="M7" s="32" t="n">
        <f aca="false">IFERROR(INDEX('Reference Data'!$E$31:$E$45,MATCH($C7&amp;"|"&amp;$H7,'Reference Data'!$F$31:$F$45,0)),"N/A")</f>
        <v>0.714285714285714</v>
      </c>
      <c r="N7" s="32" t="n">
        <f aca="false">IF(I7="Air",M7,IF(I7="Sea",L7,"N/A"))</f>
        <v>3</v>
      </c>
      <c r="O7" s="23" t="str">
        <f aca="false">IF(ISNUMBER(SEARCH("delayed",G7)),"High Risk",IF(ISNUMBER(SEARCH("Unconfirmed",G7)),"High Risk",IF(ISNUMBER(SEARCH("Completed",G7)),"Medium Risk",IF(ISNUMBER(SEARCH("on track",G7)),"Low Risk","Review"))))</f>
        <v>Low Risk</v>
      </c>
      <c r="P7" s="23" t="str">
        <f aca="false">IF(H7="UK","Yes","No")</f>
        <v>No</v>
      </c>
    </row>
    <row r="8" customFormat="false" ht="15" hidden="false" customHeight="false" outlineLevel="0" collapsed="false">
      <c r="A8" s="28" t="s">
        <v>91</v>
      </c>
      <c r="B8" s="28" t="s">
        <v>92</v>
      </c>
      <c r="C8" s="20" t="str">
        <f aca="false">IFERROR(INDEX('Reference Data'!$B$22:$B$27,MATCH(B8,'Reference Data'!$A$22:$A$27,0)),"N/A")</f>
        <v>Jakarta</v>
      </c>
      <c r="D8" s="28" t="s">
        <v>93</v>
      </c>
      <c r="E8" s="20" t="str">
        <f aca="false">IFERROR(INDEX('Reference Data'!$B$10:$B$18,MATCH(D8,'Reference Data'!$A$10:$A$18,0)),"N/A")</f>
        <v>Hair Mask 100ml</v>
      </c>
      <c r="F8" s="29" t="n">
        <v>300</v>
      </c>
      <c r="G8" s="28" t="s">
        <v>94</v>
      </c>
      <c r="H8" s="30" t="s">
        <v>95</v>
      </c>
      <c r="I8" s="30" t="s">
        <v>95</v>
      </c>
      <c r="J8" s="28" t="s">
        <v>96</v>
      </c>
      <c r="K8" s="30" t="s">
        <v>95</v>
      </c>
      <c r="L8" s="32" t="str">
        <f aca="false">IFERROR(INDEX('Reference Data'!$C$31:$C$45,MATCH($C8&amp;"|"&amp;$H8,'Reference Data'!$F$31:$F$45,0)),"N/A")</f>
        <v>N/A</v>
      </c>
      <c r="M8" s="32" t="str">
        <f aca="false">IFERROR(INDEX('Reference Data'!$E$31:$E$45,MATCH($C8&amp;"|"&amp;$H8,'Reference Data'!$F$31:$F$45,0)),"N/A")</f>
        <v>N/A</v>
      </c>
      <c r="N8" s="32" t="str">
        <f aca="false">IF(I8="Air",M8,IF(I8="Sea",L8,"N/A"))</f>
        <v>N/A</v>
      </c>
      <c r="O8" s="23" t="str">
        <f aca="false">IF(ISNUMBER(SEARCH("delayed",G8)),"High Risk",IF(ISNUMBER(SEARCH("Unconfirmed",G8)),"High Risk",IF(ISNUMBER(SEARCH("Completed",G8)),"Medium Risk",IF(ISNUMBER(SEARCH("on track",G8)),"Low Risk","Review"))))</f>
        <v>High Risk</v>
      </c>
      <c r="P8" s="23" t="str">
        <f aca="false">IF(H8="UK","Yes","No")</f>
        <v>No</v>
      </c>
    </row>
    <row r="9" customFormat="false" ht="15" hidden="false" customHeight="false" outlineLevel="0" collapsed="false">
      <c r="A9" s="28" t="s">
        <v>97</v>
      </c>
      <c r="B9" s="28" t="s">
        <v>98</v>
      </c>
      <c r="C9" s="20" t="str">
        <f aca="false">IFERROR(INDEX('Reference Data'!$B$22:$B$27,MATCH(B9,'Reference Data'!$A$22:$A$27,0)),"N/A")</f>
        <v>Taipei</v>
      </c>
      <c r="D9" s="28" t="s">
        <v>99</v>
      </c>
      <c r="E9" s="20" t="str">
        <f aca="false">IFERROR(INDEX('Reference Data'!$B$10:$B$18,MATCH(D9,'Reference Data'!$A$10:$A$18,0)),"N/A")</f>
        <v>Lip Balm 3-Pack</v>
      </c>
      <c r="F9" s="29" t="n">
        <v>1000</v>
      </c>
      <c r="G9" s="28" t="s">
        <v>100</v>
      </c>
      <c r="H9" s="30" t="s">
        <v>95</v>
      </c>
      <c r="I9" s="30" t="s">
        <v>95</v>
      </c>
      <c r="J9" s="28" t="s">
        <v>101</v>
      </c>
      <c r="K9" s="30" t="s">
        <v>95</v>
      </c>
      <c r="L9" s="32" t="str">
        <f aca="false">IFERROR(INDEX('Reference Data'!$C$31:$C$45,MATCH($C9&amp;"|"&amp;$H9,'Reference Data'!$F$31:$F$45,0)),"N/A")</f>
        <v>N/A</v>
      </c>
      <c r="M9" s="32" t="str">
        <f aca="false">IFERROR(INDEX('Reference Data'!$E$31:$E$45,MATCH($C9&amp;"|"&amp;$H9,'Reference Data'!$F$31:$F$45,0)),"N/A")</f>
        <v>N/A</v>
      </c>
      <c r="N9" s="32" t="str">
        <f aca="false">IF(I9="Air",M9,IF(I9="Sea",L9,"N/A"))</f>
        <v>N/A</v>
      </c>
      <c r="O9" s="23" t="str">
        <f aca="false">IF(ISNUMBER(SEARCH("delayed",G9)),"High Risk",IF(ISNUMBER(SEARCH("Unconfirmed",G9)),"High Risk",IF(ISNUMBER(SEARCH("Completed",G9)),"Medium Risk",IF(ISNUMBER(SEARCH("on track",G9)),"Low Risk","Review"))))</f>
        <v>Medium Risk</v>
      </c>
      <c r="P9" s="23" t="str">
        <f aca="false">IF(H9="UK","Yes","No")</f>
        <v>No</v>
      </c>
    </row>
    <row r="10" customFormat="false" ht="15" hidden="false" customHeight="false" outlineLevel="0" collapsed="false">
      <c r="A10" s="28" t="s">
        <v>102</v>
      </c>
      <c r="B10" s="28" t="s">
        <v>103</v>
      </c>
      <c r="C10" s="20" t="str">
        <f aca="false">IFERROR(INDEX('Reference Data'!$B$22:$B$27,MATCH(B10,'Reference Data'!$A$22:$A$27,0)),"N/A")</f>
        <v>Chiang Mai</v>
      </c>
      <c r="D10" s="28" t="s">
        <v>104</v>
      </c>
      <c r="E10" s="20" t="str">
        <f aca="false">IFERROR(INDEX('Reference Data'!$B$10:$B$18,MATCH(D10,'Reference Data'!$A$10:$A$18,0)),"N/A")</f>
        <v>Essential Oil Blend 30ml</v>
      </c>
      <c r="F10" s="29" t="n">
        <v>200</v>
      </c>
      <c r="G10" s="28" t="s">
        <v>105</v>
      </c>
      <c r="H10" s="30" t="s">
        <v>95</v>
      </c>
      <c r="I10" s="30" t="s">
        <v>95</v>
      </c>
      <c r="J10" s="28" t="s">
        <v>95</v>
      </c>
      <c r="K10" s="30" t="s">
        <v>95</v>
      </c>
      <c r="L10" s="32" t="str">
        <f aca="false">IFERROR(INDEX('Reference Data'!$C$31:$C$45,MATCH($C10&amp;"|"&amp;$H10,'Reference Data'!$F$31:$F$45,0)),"N/A")</f>
        <v>N/A</v>
      </c>
      <c r="M10" s="32" t="str">
        <f aca="false">IFERROR(INDEX('Reference Data'!$E$31:$E$45,MATCH($C10&amp;"|"&amp;$H10,'Reference Data'!$F$31:$F$45,0)),"N/A")</f>
        <v>N/A</v>
      </c>
      <c r="N10" s="32" t="str">
        <f aca="false">IF(I10="Air",M10,IF(I10="Sea",L10,"N/A"))</f>
        <v>N/A</v>
      </c>
      <c r="O10" s="23" t="str">
        <f aca="false">IF(ISNUMBER(SEARCH("delayed",G10)),"High Risk",IF(ISNUMBER(SEARCH("Unconfirmed",G10)),"High Risk",IF(ISNUMBER(SEARCH("Completed",G10)),"Medium Risk",IF(ISNUMBER(SEARCH("on track",G10)),"Low Risk","Review"))))</f>
        <v>High Risk</v>
      </c>
      <c r="P10" s="23" t="str">
        <f aca="false">IF(H10="UK","Yes","No")</f>
        <v>No</v>
      </c>
    </row>
    <row r="11" customFormat="false" ht="15" hidden="false" customHeight="false" outlineLevel="0" collapsed="false">
      <c r="A11" s="28" t="s">
        <v>106</v>
      </c>
      <c r="B11" s="28" t="s">
        <v>107</v>
      </c>
      <c r="C11" s="20" t="str">
        <f aca="false">IFERROR(INDEX('Reference Data'!$B$22:$B$27,MATCH(B11,'Reference Data'!$A$22:$A$27,0)),"N/A")</f>
        <v>Ho Chi Minh City</v>
      </c>
      <c r="D11" s="28" t="s">
        <v>108</v>
      </c>
      <c r="E11" s="20" t="str">
        <f aca="false">IFERROR(INDEX('Reference Data'!$B$10:$B$18,MATCH(D11,'Reference Data'!$A$10:$A$18,0)),"N/A")</f>
        <v>Bath Crystals 400g</v>
      </c>
      <c r="F11" s="29" t="n">
        <v>500</v>
      </c>
      <c r="G11" s="28" t="s">
        <v>83</v>
      </c>
      <c r="H11" s="30" t="s">
        <v>89</v>
      </c>
      <c r="I11" s="30" t="s">
        <v>85</v>
      </c>
      <c r="J11" s="28" t="s">
        <v>109</v>
      </c>
      <c r="K11" s="31" t="n">
        <v>6</v>
      </c>
      <c r="L11" s="32" t="n">
        <f aca="false">IFERROR(INDEX('Reference Data'!$C$31:$C$45,MATCH($C11&amp;"|"&amp;$H11,'Reference Data'!$F$31:$F$45,0)),"N/A")</f>
        <v>3.5</v>
      </c>
      <c r="M11" s="32" t="n">
        <f aca="false">IFERROR(INDEX('Reference Data'!$E$31:$E$45,MATCH($C11&amp;"|"&amp;$H11,'Reference Data'!$F$31:$F$45,0)),"N/A")</f>
        <v>0.714285714285714</v>
      </c>
      <c r="N11" s="32" t="n">
        <f aca="false">IF(I11="Air",M11,IF(I11="Sea",L11,"N/A"))</f>
        <v>3.5</v>
      </c>
      <c r="O11" s="23" t="str">
        <f aca="false">IF(ISNUMBER(SEARCH("delayed",G11)),"High Risk",IF(ISNUMBER(SEARCH("Unconfirmed",G11)),"High Risk",IF(ISNUMBER(SEARCH("Completed",G11)),"Medium Risk",IF(ISNUMBER(SEARCH("on track",G11)),"Low Risk","Review"))))</f>
        <v>Low Risk</v>
      </c>
      <c r="P11" s="23" t="str">
        <f aca="false">IF(H11="UK","Yes","No")</f>
        <v>No</v>
      </c>
    </row>
    <row r="12" customFormat="false" ht="15" hidden="false" customHeight="false" outlineLevel="0" collapsed="false">
      <c r="A12" s="26" t="s">
        <v>47</v>
      </c>
      <c r="B12" s="27"/>
      <c r="C12" s="27"/>
      <c r="D12" s="27"/>
      <c r="E12" s="27"/>
      <c r="F12" s="33" t="n">
        <f aca="false">SUM(F6:F11)</f>
        <v>3000</v>
      </c>
      <c r="G12" s="27"/>
      <c r="H12" s="27"/>
      <c r="I12" s="27"/>
      <c r="J12" s="27"/>
      <c r="K12" s="27"/>
      <c r="L12" s="27"/>
      <c r="M12" s="27"/>
      <c r="N12" s="27"/>
      <c r="O12" s="27"/>
      <c r="P12" s="27"/>
    </row>
    <row r="14" customFormat="false" ht="15" hidden="false" customHeight="false" outlineLevel="0" collapsed="false">
      <c r="A14" s="10" t="s">
        <v>12</v>
      </c>
    </row>
    <row r="15" customFormat="false" ht="15" hidden="false" customHeight="true" outlineLevel="0" collapsed="false">
      <c r="A15" s="11" t="s">
        <v>110</v>
      </c>
      <c r="B15" s="11"/>
      <c r="C15" s="11"/>
      <c r="D15" s="11"/>
      <c r="E15" s="11"/>
      <c r="F15" s="11"/>
      <c r="G15" s="11"/>
      <c r="H15" s="11"/>
      <c r="I15" s="11"/>
      <c r="J15" s="11"/>
      <c r="K15" s="11"/>
      <c r="L15" s="11"/>
      <c r="M15" s="11"/>
      <c r="N15" s="11"/>
      <c r="O15" s="11"/>
      <c r="P15" s="11"/>
    </row>
    <row r="16" customFormat="false" ht="15" hidden="false" customHeight="true" outlineLevel="0" collapsed="false">
      <c r="A16" s="11" t="s">
        <v>111</v>
      </c>
      <c r="B16" s="11"/>
      <c r="C16" s="11"/>
      <c r="D16" s="11"/>
      <c r="E16" s="11"/>
      <c r="F16" s="11"/>
      <c r="G16" s="11"/>
      <c r="H16" s="11"/>
      <c r="I16" s="11"/>
      <c r="J16" s="11"/>
      <c r="K16" s="11"/>
      <c r="L16" s="11"/>
      <c r="M16" s="11"/>
      <c r="N16" s="11"/>
      <c r="O16" s="11"/>
      <c r="P16" s="11"/>
    </row>
    <row r="17" customFormat="false" ht="15" hidden="false" customHeight="true" outlineLevel="0" collapsed="false">
      <c r="A17" s="11" t="s">
        <v>112</v>
      </c>
      <c r="B17" s="11"/>
      <c r="C17" s="11"/>
      <c r="D17" s="11"/>
      <c r="E17" s="11"/>
      <c r="F17" s="11"/>
      <c r="G17" s="11"/>
      <c r="H17" s="11"/>
      <c r="I17" s="11"/>
      <c r="J17" s="11"/>
      <c r="K17" s="11"/>
      <c r="L17" s="11"/>
      <c r="M17" s="11"/>
      <c r="N17" s="11"/>
      <c r="O17" s="11"/>
      <c r="P17" s="11"/>
    </row>
    <row r="18" customFormat="false" ht="15" hidden="false" customHeight="true" outlineLevel="0" collapsed="false">
      <c r="A18" s="11" t="s">
        <v>113</v>
      </c>
      <c r="B18" s="11"/>
      <c r="C18" s="11"/>
      <c r="D18" s="11"/>
      <c r="E18" s="11"/>
      <c r="F18" s="11"/>
      <c r="G18" s="11"/>
      <c r="H18" s="11"/>
      <c r="I18" s="11"/>
      <c r="J18" s="11"/>
      <c r="K18" s="11"/>
      <c r="L18" s="11"/>
      <c r="M18" s="11"/>
      <c r="N18" s="11"/>
      <c r="O18" s="11"/>
      <c r="P18" s="11"/>
    </row>
  </sheetData>
  <mergeCells count="6">
    <mergeCell ref="A1:P1"/>
    <mergeCell ref="A3:P3"/>
    <mergeCell ref="A15:P15"/>
    <mergeCell ref="A16:P16"/>
    <mergeCell ref="A17:P17"/>
    <mergeCell ref="A18:P18"/>
  </mergeCells>
  <conditionalFormatting sqref="O6:O11">
    <cfRule type="cellIs" priority="2" operator="equal" aboveAverage="0" equalAverage="0" bottom="0" percent="0" rank="0" text="" dxfId="1">
      <formula>"High Risk"</formula>
    </cfRule>
    <cfRule type="cellIs" priority="3" operator="equal" aboveAverage="0" equalAverage="0" bottom="0" percent="0" rank="0" text="" dxfId="0">
      <formula>"Medium Risk"</formula>
    </cfRule>
    <cfRule type="cellIs" priority="4" operator="equal" aboveAverage="0" equalAverage="0" bottom="0" percent="0" rank="0" text="" dxfId="2">
      <formula>"Low Risk"</formula>
    </cfRule>
  </conditionalFormatting>
  <conditionalFormatting sqref="P6:P11">
    <cfRule type="cellIs" priority="5" operator="equal" aboveAverage="0" equalAverage="0" bottom="0" percent="0" rank="0" text="" dxfId="4">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O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20"/>
    <col collapsed="false" customWidth="true" hidden="false" outlineLevel="0" max="3" min="3" style="0" width="11"/>
    <col collapsed="false" customWidth="true" hidden="false" outlineLevel="0" max="4" min="4" style="0" width="13"/>
    <col collapsed="false" customWidth="true" hidden="false" outlineLevel="0" max="5" min="5" style="0" width="10"/>
    <col collapsed="false" customWidth="true" hidden="false" outlineLevel="0" max="6" min="6" style="0" width="12"/>
    <col collapsed="false" customWidth="true" hidden="false" outlineLevel="0" max="7" min="7" style="0" width="9"/>
    <col collapsed="false" customWidth="true" hidden="false" outlineLevel="0" max="8" min="8" style="0" width="10"/>
    <col collapsed="false" customWidth="true" hidden="false" outlineLevel="0" max="15" min="9" style="0" width="12"/>
  </cols>
  <sheetData>
    <row r="1" customFormat="false" ht="25.5" hidden="false" customHeight="true" outlineLevel="0" collapsed="false">
      <c r="A1" s="1" t="s">
        <v>114</v>
      </c>
      <c r="B1" s="1"/>
      <c r="C1" s="1"/>
      <c r="D1" s="1"/>
      <c r="E1" s="1"/>
      <c r="F1" s="1"/>
      <c r="G1" s="1"/>
      <c r="H1" s="1"/>
      <c r="I1" s="1"/>
      <c r="J1" s="1"/>
      <c r="K1" s="1"/>
      <c r="L1" s="1"/>
      <c r="M1" s="1"/>
      <c r="N1" s="1"/>
      <c r="O1" s="1"/>
    </row>
    <row r="3" customFormat="false" ht="15" hidden="false" customHeight="false" outlineLevel="0" collapsed="false">
      <c r="A3" s="10" t="s">
        <v>115</v>
      </c>
    </row>
    <row r="4" customFormat="false" ht="15" hidden="false" customHeight="false" outlineLevel="0" collapsed="false">
      <c r="A4" s="12" t="s">
        <v>116</v>
      </c>
      <c r="B4" s="15" t="n">
        <v>4</v>
      </c>
    </row>
    <row r="5" customFormat="false" ht="15" hidden="false" customHeight="false" outlineLevel="0" collapsed="false">
      <c r="A5" s="12" t="s">
        <v>117</v>
      </c>
      <c r="B5" s="15" t="n">
        <v>8</v>
      </c>
      <c r="C5" s="14" t="s">
        <v>118</v>
      </c>
    </row>
    <row r="7" customFormat="false" ht="30" hidden="false" customHeight="true" outlineLevel="0" collapsed="false">
      <c r="A7" s="19" t="s">
        <v>24</v>
      </c>
      <c r="B7" s="19" t="s">
        <v>25</v>
      </c>
      <c r="C7" s="19" t="s">
        <v>119</v>
      </c>
      <c r="D7" s="19" t="s">
        <v>120</v>
      </c>
      <c r="E7" s="19" t="s">
        <v>121</v>
      </c>
      <c r="F7" s="19" t="s">
        <v>122</v>
      </c>
      <c r="G7" s="19" t="s">
        <v>123</v>
      </c>
      <c r="H7" s="19" t="s">
        <v>124</v>
      </c>
      <c r="I7" s="19" t="s">
        <v>125</v>
      </c>
      <c r="J7" s="19" t="s">
        <v>126</v>
      </c>
      <c r="K7" s="19" t="s">
        <v>127</v>
      </c>
      <c r="L7" s="19" t="s">
        <v>128</v>
      </c>
      <c r="M7" s="19" t="s">
        <v>129</v>
      </c>
      <c r="N7" s="19" t="s">
        <v>130</v>
      </c>
      <c r="O7" s="19" t="s">
        <v>30</v>
      </c>
    </row>
    <row r="8" customFormat="false" ht="15" hidden="false" customHeight="false" outlineLevel="0" collapsed="false">
      <c r="A8" s="28" t="s">
        <v>82</v>
      </c>
      <c r="B8" s="20" t="str">
        <f aca="false">IFERROR(INDEX('Reference Data'!$B$10:$B$18,MATCH($A8,'Reference Data'!$A$10:$A$18,0)),"N/A")</f>
        <v>Recovery Balm 300ml</v>
      </c>
      <c r="C8" s="20" t="str">
        <f aca="false">IFERROR(INDEX('Reference Data'!$C$10:$C$18,MATCH($A8,'Reference Data'!$A$10:$A$18,0)),"N/A")</f>
        <v>Body Care</v>
      </c>
      <c r="D8" s="20" t="str">
        <f aca="false">IFERROR(INDEX('Reference Data'!$D$10:$D$18,MATCH($A8,'Reference Data'!$A$10:$A$18,0)),"N/A")</f>
        <v>Factory A</v>
      </c>
      <c r="E8" s="29" t="n">
        <v>220</v>
      </c>
      <c r="F8" s="29" t="n">
        <v>35</v>
      </c>
      <c r="G8" s="29" t="n">
        <v>110</v>
      </c>
      <c r="H8" s="21" t="n">
        <f aca="false">SUM(E8:G8)</f>
        <v>365</v>
      </c>
      <c r="I8" s="29" t="n">
        <v>75</v>
      </c>
      <c r="J8" s="22" t="n">
        <f aca="false">IFERROR(H8/I8,"N/A")</f>
        <v>4.86666666666667</v>
      </c>
      <c r="K8" s="23" t="str">
        <f aca="false">IF(J8&lt;$B$4,"High Risk",IF(J8&lt;$B$5,"Medium Risk","Low Risk"))</f>
        <v>Medium Risk</v>
      </c>
      <c r="L8" s="22" t="n">
        <f aca="false">IFERROR(F8/I8,"N/A")</f>
        <v>0.466666666666667</v>
      </c>
      <c r="M8" s="23" t="str">
        <f aca="false">IF(L8&lt;$B$4,"High Risk",IF(L8&lt;$B$5,"Medium Risk","Low Risk"))</f>
        <v>High Risk</v>
      </c>
      <c r="N8" s="21" t="n">
        <f aca="false">SUMIF('Purchase Orders'!$D$6:$D$11,$A8,'Purchase Orders'!$F$6:$F$11)</f>
        <v>500</v>
      </c>
      <c r="O8" s="21" t="n">
        <f aca="false">SUMIFS('Purchase Orders'!$F$6:$F$11,'Purchase Orders'!$D$6:$D$11,$A8,'Purchase Orders'!$H$6:$H$11,"UK")</f>
        <v>0</v>
      </c>
    </row>
    <row r="9" customFormat="false" ht="15" hidden="false" customHeight="false" outlineLevel="0" collapsed="false">
      <c r="A9" s="28" t="s">
        <v>131</v>
      </c>
      <c r="B9" s="20" t="str">
        <f aca="false">IFERROR(INDEX('Reference Data'!$B$10:$B$18,MATCH($A9,'Reference Data'!$A$10:$A$18,0)),"N/A")</f>
        <v>Face Serum 50ml</v>
      </c>
      <c r="C9" s="20" t="str">
        <f aca="false">IFERROR(INDEX('Reference Data'!$C$10:$C$18,MATCH($A9,'Reference Data'!$A$10:$A$18,0)),"N/A")</f>
        <v>Skincare</v>
      </c>
      <c r="D9" s="20" t="str">
        <f aca="false">IFERROR(INDEX('Reference Data'!$D$10:$D$18,MATCH($A9,'Reference Data'!$A$10:$A$18,0)),"N/A")</f>
        <v>Factory A</v>
      </c>
      <c r="E9" s="29" t="n">
        <v>150</v>
      </c>
      <c r="F9" s="29" t="n">
        <v>20</v>
      </c>
      <c r="G9" s="29" t="n">
        <v>75</v>
      </c>
      <c r="H9" s="21" t="n">
        <f aca="false">SUM(E9:G9)</f>
        <v>245</v>
      </c>
      <c r="I9" s="29" t="n">
        <v>45</v>
      </c>
      <c r="J9" s="22" t="n">
        <f aca="false">IFERROR(H9/I9,"N/A")</f>
        <v>5.44444444444445</v>
      </c>
      <c r="K9" s="23" t="str">
        <f aca="false">IF(J9&lt;$B$4,"High Risk",IF(J9&lt;$B$5,"Medium Risk","Low Risk"))</f>
        <v>Medium Risk</v>
      </c>
      <c r="L9" s="22" t="n">
        <f aca="false">IFERROR(F9/I9,"N/A")</f>
        <v>0.444444444444444</v>
      </c>
      <c r="M9" s="23" t="str">
        <f aca="false">IF(L9&lt;$B$4,"High Risk",IF(L9&lt;$B$5,"Medium Risk","Low Risk"))</f>
        <v>High Risk</v>
      </c>
      <c r="N9" s="21" t="n">
        <f aca="false">SUMIF('Purchase Orders'!$D$6:$D$11,$A9,'Purchase Orders'!$F$6:$F$11)</f>
        <v>0</v>
      </c>
      <c r="O9" s="21" t="n">
        <f aca="false">SUMIFS('Purchase Orders'!$F$6:$F$11,'Purchase Orders'!$D$6:$D$11,$A9,'Purchase Orders'!$H$6:$H$11,"UK")</f>
        <v>0</v>
      </c>
    </row>
    <row r="10" customFormat="false" ht="15" hidden="false" customHeight="false" outlineLevel="0" collapsed="false">
      <c r="A10" s="28" t="s">
        <v>132</v>
      </c>
      <c r="B10" s="20" t="str">
        <f aca="false">IFERROR(INDEX('Reference Data'!$B$10:$B$18,MATCH($A10,'Reference Data'!$A$10:$A$18,0)),"N/A")</f>
        <v>Body Wash 200ml</v>
      </c>
      <c r="C10" s="20" t="str">
        <f aca="false">IFERROR(INDEX('Reference Data'!$C$10:$C$18,MATCH($A10,'Reference Data'!$A$10:$A$18,0)),"N/A")</f>
        <v>Body Care</v>
      </c>
      <c r="D10" s="20" t="str">
        <f aca="false">IFERROR(INDEX('Reference Data'!$D$10:$D$18,MATCH($A10,'Reference Data'!$A$10:$A$18,0)),"N/A")</f>
        <v>Factory B</v>
      </c>
      <c r="E10" s="29" t="n">
        <v>180</v>
      </c>
      <c r="F10" s="29" t="n">
        <v>50</v>
      </c>
      <c r="G10" s="29" t="n">
        <v>60</v>
      </c>
      <c r="H10" s="21" t="n">
        <f aca="false">SUM(E10:G10)</f>
        <v>290</v>
      </c>
      <c r="I10" s="29" t="n">
        <v>55</v>
      </c>
      <c r="J10" s="22" t="n">
        <f aca="false">IFERROR(H10/I10,"N/A")</f>
        <v>5.27272727272727</v>
      </c>
      <c r="K10" s="23" t="str">
        <f aca="false">IF(J10&lt;$B$4,"High Risk",IF(J10&lt;$B$5,"Medium Risk","Low Risk"))</f>
        <v>Medium Risk</v>
      </c>
      <c r="L10" s="22" t="n">
        <f aca="false">IFERROR(F10/I10,"N/A")</f>
        <v>0.909090909090909</v>
      </c>
      <c r="M10" s="23" t="str">
        <f aca="false">IF(L10&lt;$B$4,"High Risk",IF(L10&lt;$B$5,"Medium Risk","Low Risk"))</f>
        <v>High Risk</v>
      </c>
      <c r="N10" s="21" t="n">
        <f aca="false">SUMIF('Purchase Orders'!$D$6:$D$11,$A10,'Purchase Orders'!$F$6:$F$11)</f>
        <v>0</v>
      </c>
      <c r="O10" s="21" t="n">
        <f aca="false">SUMIFS('Purchase Orders'!$F$6:$F$11,'Purchase Orders'!$D$6:$D$11,$A10,'Purchase Orders'!$H$6:$H$11,"UK")</f>
        <v>0</v>
      </c>
    </row>
    <row r="11" customFormat="false" ht="15" hidden="false" customHeight="false" outlineLevel="0" collapsed="false">
      <c r="A11" s="28" t="s">
        <v>93</v>
      </c>
      <c r="B11" s="20" t="str">
        <f aca="false">IFERROR(INDEX('Reference Data'!$B$10:$B$18,MATCH($A11,'Reference Data'!$A$10:$A$18,0)),"N/A")</f>
        <v>Hair Mask 100ml</v>
      </c>
      <c r="C11" s="20" t="str">
        <f aca="false">IFERROR(INDEX('Reference Data'!$C$10:$C$18,MATCH($A11,'Reference Data'!$A$10:$A$18,0)),"N/A")</f>
        <v>Hair Care</v>
      </c>
      <c r="D11" s="20" t="str">
        <f aca="false">IFERROR(INDEX('Reference Data'!$D$10:$D$18,MATCH($A11,'Reference Data'!$A$10:$A$18,0)),"N/A")</f>
        <v>Factory C</v>
      </c>
      <c r="E11" s="29" t="n">
        <v>90</v>
      </c>
      <c r="F11" s="29" t="n">
        <v>25</v>
      </c>
      <c r="G11" s="29" t="n">
        <v>45</v>
      </c>
      <c r="H11" s="21" t="n">
        <f aca="false">SUM(E11:G11)</f>
        <v>160</v>
      </c>
      <c r="I11" s="29" t="n">
        <v>30</v>
      </c>
      <c r="J11" s="22" t="n">
        <f aca="false">IFERROR(H11/I11,"N/A")</f>
        <v>5.33333333333333</v>
      </c>
      <c r="K11" s="23" t="str">
        <f aca="false">IF(J11&lt;$B$4,"High Risk",IF(J11&lt;$B$5,"Medium Risk","Low Risk"))</f>
        <v>Medium Risk</v>
      </c>
      <c r="L11" s="22" t="n">
        <f aca="false">IFERROR(F11/I11,"N/A")</f>
        <v>0.833333333333333</v>
      </c>
      <c r="M11" s="23" t="str">
        <f aca="false">IF(L11&lt;$B$4,"High Risk",IF(L11&lt;$B$5,"Medium Risk","Low Risk"))</f>
        <v>High Risk</v>
      </c>
      <c r="N11" s="21" t="n">
        <f aca="false">SUMIF('Purchase Orders'!$D$6:$D$11,$A11,'Purchase Orders'!$F$6:$F$11)</f>
        <v>300</v>
      </c>
      <c r="O11" s="21" t="n">
        <f aca="false">SUMIFS('Purchase Orders'!$F$6:$F$11,'Purchase Orders'!$D$6:$D$11,$A11,'Purchase Orders'!$H$6:$H$11,"UK")</f>
        <v>0</v>
      </c>
    </row>
    <row r="12" customFormat="false" ht="15" hidden="false" customHeight="false" outlineLevel="0" collapsed="false">
      <c r="A12" s="28" t="s">
        <v>99</v>
      </c>
      <c r="B12" s="20" t="str">
        <f aca="false">IFERROR(INDEX('Reference Data'!$B$10:$B$18,MATCH($A12,'Reference Data'!$A$10:$A$18,0)),"N/A")</f>
        <v>Lip Balm 3-Pack</v>
      </c>
      <c r="C12" s="20" t="str">
        <f aca="false">IFERROR(INDEX('Reference Data'!$C$10:$C$18,MATCH($A12,'Reference Data'!$A$10:$A$18,0)),"N/A")</f>
        <v>Skincare</v>
      </c>
      <c r="D12" s="20" t="str">
        <f aca="false">IFERROR(INDEX('Reference Data'!$D$10:$D$18,MATCH($A12,'Reference Data'!$A$10:$A$18,0)),"N/A")</f>
        <v>Factory D</v>
      </c>
      <c r="E12" s="29" t="n">
        <v>300</v>
      </c>
      <c r="F12" s="29" t="n">
        <v>40</v>
      </c>
      <c r="G12" s="29" t="n">
        <v>80</v>
      </c>
      <c r="H12" s="21" t="n">
        <f aca="false">SUM(E12:G12)</f>
        <v>420</v>
      </c>
      <c r="I12" s="29" t="n">
        <v>60</v>
      </c>
      <c r="J12" s="22" t="n">
        <f aca="false">IFERROR(H12/I12,"N/A")</f>
        <v>7</v>
      </c>
      <c r="K12" s="23" t="str">
        <f aca="false">IF(J12&lt;$B$4,"High Risk",IF(J12&lt;$B$5,"Medium Risk","Low Risk"))</f>
        <v>Medium Risk</v>
      </c>
      <c r="L12" s="22" t="n">
        <f aca="false">IFERROR(F12/I12,"N/A")</f>
        <v>0.666666666666667</v>
      </c>
      <c r="M12" s="23" t="str">
        <f aca="false">IF(L12&lt;$B$4,"High Risk",IF(L12&lt;$B$5,"Medium Risk","Low Risk"))</f>
        <v>High Risk</v>
      </c>
      <c r="N12" s="21" t="n">
        <f aca="false">SUMIF('Purchase Orders'!$D$6:$D$11,$A12,'Purchase Orders'!$F$6:$F$11)</f>
        <v>1000</v>
      </c>
      <c r="O12" s="21" t="n">
        <f aca="false">SUMIFS('Purchase Orders'!$F$6:$F$11,'Purchase Orders'!$D$6:$D$11,$A12,'Purchase Orders'!$H$6:$H$11,"UK")</f>
        <v>0</v>
      </c>
    </row>
    <row r="13" customFormat="false" ht="15" hidden="false" customHeight="false" outlineLevel="0" collapsed="false">
      <c r="A13" s="28" t="s">
        <v>133</v>
      </c>
      <c r="B13" s="20" t="str">
        <f aca="false">IFERROR(INDEX('Reference Data'!$B$10:$B$18,MATCH($A13,'Reference Data'!$A$10:$A$18,0)),"N/A")</f>
        <v>Scalp Mist 150ml</v>
      </c>
      <c r="C13" s="20" t="str">
        <f aca="false">IFERROR(INDEX('Reference Data'!$C$10:$C$18,MATCH($A13,'Reference Data'!$A$10:$A$18,0)),"N/A")</f>
        <v>Hair Care</v>
      </c>
      <c r="D13" s="20" t="str">
        <f aca="false">IFERROR(INDEX('Reference Data'!$D$10:$D$18,MATCH($A13,'Reference Data'!$A$10:$A$18,0)),"N/A")</f>
        <v>Factory C</v>
      </c>
      <c r="E13" s="29" t="n">
        <v>70</v>
      </c>
      <c r="F13" s="29" t="n">
        <v>10</v>
      </c>
      <c r="G13" s="29" t="n">
        <v>30</v>
      </c>
      <c r="H13" s="21" t="n">
        <f aca="false">SUM(E13:G13)</f>
        <v>110</v>
      </c>
      <c r="I13" s="29" t="n">
        <v>20</v>
      </c>
      <c r="J13" s="22" t="n">
        <f aca="false">IFERROR(H13/I13,"N/A")</f>
        <v>5.5</v>
      </c>
      <c r="K13" s="23" t="str">
        <f aca="false">IF(J13&lt;$B$4,"High Risk",IF(J13&lt;$B$5,"Medium Risk","Low Risk"))</f>
        <v>Medium Risk</v>
      </c>
      <c r="L13" s="22" t="n">
        <f aca="false">IFERROR(F13/I13,"N/A")</f>
        <v>0.5</v>
      </c>
      <c r="M13" s="23" t="str">
        <f aca="false">IF(L13&lt;$B$4,"High Risk",IF(L13&lt;$B$5,"Medium Risk","Low Risk"))</f>
        <v>High Risk</v>
      </c>
      <c r="N13" s="21" t="n">
        <f aca="false">SUMIF('Purchase Orders'!$D$6:$D$11,$A13,'Purchase Orders'!$F$6:$F$11)</f>
        <v>0</v>
      </c>
      <c r="O13" s="21" t="n">
        <f aca="false">SUMIFS('Purchase Orders'!$F$6:$F$11,'Purchase Orders'!$D$6:$D$11,$A13,'Purchase Orders'!$H$6:$H$11,"UK")</f>
        <v>0</v>
      </c>
    </row>
    <row r="14" customFormat="false" ht="15" hidden="false" customHeight="false" outlineLevel="0" collapsed="false">
      <c r="A14" s="28" t="s">
        <v>104</v>
      </c>
      <c r="B14" s="20" t="str">
        <f aca="false">IFERROR(INDEX('Reference Data'!$B$10:$B$18,MATCH($A14,'Reference Data'!$A$10:$A$18,0)),"N/A")</f>
        <v>Essential Oil Blend 30ml</v>
      </c>
      <c r="C14" s="20" t="str">
        <f aca="false">IFERROR(INDEX('Reference Data'!$C$10:$C$18,MATCH($A14,'Reference Data'!$A$10:$A$18,0)),"N/A")</f>
        <v>Wellness</v>
      </c>
      <c r="D14" s="20" t="str">
        <f aca="false">IFERROR(INDEX('Reference Data'!$D$10:$D$18,MATCH($A14,'Reference Data'!$A$10:$A$18,0)),"N/A")</f>
        <v>Factory E</v>
      </c>
      <c r="E14" s="29" t="n">
        <v>45</v>
      </c>
      <c r="F14" s="29" t="n">
        <v>8</v>
      </c>
      <c r="G14" s="29" t="n">
        <v>20</v>
      </c>
      <c r="H14" s="21" t="n">
        <f aca="false">SUM(E14:G14)</f>
        <v>73</v>
      </c>
      <c r="I14" s="29" t="n">
        <v>15</v>
      </c>
      <c r="J14" s="22" t="n">
        <f aca="false">IFERROR(H14/I14,"N/A")</f>
        <v>4.86666666666667</v>
      </c>
      <c r="K14" s="23" t="str">
        <f aca="false">IF(J14&lt;$B$4,"High Risk",IF(J14&lt;$B$5,"Medium Risk","Low Risk"))</f>
        <v>Medium Risk</v>
      </c>
      <c r="L14" s="22" t="n">
        <f aca="false">IFERROR(F14/I14,"N/A")</f>
        <v>0.533333333333333</v>
      </c>
      <c r="M14" s="23" t="str">
        <f aca="false">IF(L14&lt;$B$4,"High Risk",IF(L14&lt;$B$5,"Medium Risk","Low Risk"))</f>
        <v>High Risk</v>
      </c>
      <c r="N14" s="21" t="n">
        <f aca="false">SUMIF('Purchase Orders'!$D$6:$D$11,$A14,'Purchase Orders'!$F$6:$F$11)</f>
        <v>200</v>
      </c>
      <c r="O14" s="21" t="n">
        <f aca="false">SUMIFS('Purchase Orders'!$F$6:$F$11,'Purchase Orders'!$D$6:$D$11,$A14,'Purchase Orders'!$H$6:$H$11,"UK")</f>
        <v>0</v>
      </c>
    </row>
    <row r="15" customFormat="false" ht="15" hidden="false" customHeight="false" outlineLevel="0" collapsed="false">
      <c r="A15" s="28" t="s">
        <v>108</v>
      </c>
      <c r="B15" s="20" t="str">
        <f aca="false">IFERROR(INDEX('Reference Data'!$B$10:$B$18,MATCH($A15,'Reference Data'!$A$10:$A$18,0)),"N/A")</f>
        <v>Bath Crystals 400g</v>
      </c>
      <c r="C15" s="20" t="str">
        <f aca="false">IFERROR(INDEX('Reference Data'!$C$10:$C$18,MATCH($A15,'Reference Data'!$A$10:$A$18,0)),"N/A")</f>
        <v>Body Care</v>
      </c>
      <c r="D15" s="20" t="str">
        <f aca="false">IFERROR(INDEX('Reference Data'!$D$10:$D$18,MATCH($A15,'Reference Data'!$A$10:$A$18,0)),"N/A")</f>
        <v>Factory F</v>
      </c>
      <c r="E15" s="29" t="n">
        <v>60</v>
      </c>
      <c r="F15" s="29" t="n">
        <v>15</v>
      </c>
      <c r="G15" s="29" t="n">
        <v>25</v>
      </c>
      <c r="H15" s="21" t="n">
        <f aca="false">SUM(E15:G15)</f>
        <v>100</v>
      </c>
      <c r="I15" s="29" t="n">
        <v>25</v>
      </c>
      <c r="J15" s="22" t="n">
        <f aca="false">IFERROR(H15/I15,"N/A")</f>
        <v>4</v>
      </c>
      <c r="K15" s="23" t="str">
        <f aca="false">IF(J15&lt;$B$4,"High Risk",IF(J15&lt;$B$5,"Medium Risk","Low Risk"))</f>
        <v>Medium Risk</v>
      </c>
      <c r="L15" s="22" t="n">
        <f aca="false">IFERROR(F15/I15,"N/A")</f>
        <v>0.6</v>
      </c>
      <c r="M15" s="23" t="str">
        <f aca="false">IF(L15&lt;$B$4,"High Risk",IF(L15&lt;$B$5,"Medium Risk","Low Risk"))</f>
        <v>High Risk</v>
      </c>
      <c r="N15" s="21" t="n">
        <f aca="false">SUMIF('Purchase Orders'!$D$6:$D$11,$A15,'Purchase Orders'!$F$6:$F$11)</f>
        <v>500</v>
      </c>
      <c r="O15" s="21" t="n">
        <f aca="false">SUMIFS('Purchase Orders'!$F$6:$F$11,'Purchase Orders'!$D$6:$D$11,$A15,'Purchase Orders'!$H$6:$H$11,"UK")</f>
        <v>0</v>
      </c>
    </row>
    <row r="16" customFormat="false" ht="15" hidden="false" customHeight="false" outlineLevel="0" collapsed="false">
      <c r="A16" s="28" t="s">
        <v>88</v>
      </c>
      <c r="B16" s="20" t="str">
        <f aca="false">IFERROR(INDEX('Reference Data'!$B$10:$B$18,MATCH($A16,'Reference Data'!$A$10:$A$18,0)),"N/A")</f>
        <v>Night Cream 75ml</v>
      </c>
      <c r="C16" s="20" t="str">
        <f aca="false">IFERROR(INDEX('Reference Data'!$C$10:$C$18,MATCH($A16,'Reference Data'!$A$10:$A$18,0)),"N/A")</f>
        <v>Skincare</v>
      </c>
      <c r="D16" s="20" t="str">
        <f aca="false">IFERROR(INDEX('Reference Data'!$D$10:$D$18,MATCH($A16,'Reference Data'!$A$10:$A$18,0)),"N/A")</f>
        <v>Factory A</v>
      </c>
      <c r="E16" s="29" t="n">
        <v>130</v>
      </c>
      <c r="F16" s="29" t="n">
        <v>18</v>
      </c>
      <c r="G16" s="29" t="n">
        <v>55</v>
      </c>
      <c r="H16" s="21" t="n">
        <f aca="false">SUM(E16:G16)</f>
        <v>203</v>
      </c>
      <c r="I16" s="29" t="n">
        <v>40</v>
      </c>
      <c r="J16" s="22" t="n">
        <f aca="false">IFERROR(H16/I16,"N/A")</f>
        <v>5.075</v>
      </c>
      <c r="K16" s="23" t="str">
        <f aca="false">IF(J16&lt;$B$4,"High Risk",IF(J16&lt;$B$5,"Medium Risk","Low Risk"))</f>
        <v>Medium Risk</v>
      </c>
      <c r="L16" s="22" t="n">
        <f aca="false">IFERROR(F16/I16,"N/A")</f>
        <v>0.45</v>
      </c>
      <c r="M16" s="23" t="str">
        <f aca="false">IF(L16&lt;$B$4,"High Risk",IF(L16&lt;$B$5,"Medium Risk","Low Risk"))</f>
        <v>High Risk</v>
      </c>
      <c r="N16" s="21" t="n">
        <f aca="false">SUMIF('Purchase Orders'!$D$6:$D$11,$A16,'Purchase Orders'!$F$6:$F$11)</f>
        <v>500</v>
      </c>
      <c r="O16" s="21" t="n">
        <f aca="false">SUMIFS('Purchase Orders'!$F$6:$F$11,'Purchase Orders'!$D$6:$D$11,$A16,'Purchase Orders'!$H$6:$H$11,"UK")</f>
        <v>0</v>
      </c>
    </row>
    <row r="17" customFormat="false" ht="15" hidden="false" customHeight="false" outlineLevel="0" collapsed="false">
      <c r="A17" s="26" t="s">
        <v>47</v>
      </c>
      <c r="B17" s="27"/>
      <c r="C17" s="27"/>
      <c r="D17" s="27"/>
      <c r="E17" s="21" t="n">
        <f aca="false">SUM(E8:E16)</f>
        <v>1245</v>
      </c>
      <c r="F17" s="21" t="n">
        <f aca="false">SUM(F8:F16)</f>
        <v>221</v>
      </c>
      <c r="G17" s="21" t="n">
        <f aca="false">SUM(G8:G16)</f>
        <v>500</v>
      </c>
      <c r="H17" s="21" t="n">
        <f aca="false">SUM(H8:H16)</f>
        <v>1966</v>
      </c>
      <c r="I17" s="27"/>
      <c r="J17" s="27"/>
      <c r="K17" s="27"/>
      <c r="L17" s="27"/>
      <c r="M17" s="27"/>
      <c r="N17" s="21" t="n">
        <f aca="false">SUM(N8:N16)</f>
        <v>3000</v>
      </c>
      <c r="O17" s="21" t="n">
        <f aca="false">SUM(O8:O16)</f>
        <v>0</v>
      </c>
    </row>
    <row r="19" customFormat="false" ht="15" hidden="false" customHeight="false" outlineLevel="0" collapsed="false">
      <c r="A19" s="10" t="s">
        <v>12</v>
      </c>
    </row>
    <row r="20" customFormat="false" ht="15" hidden="false" customHeight="true" outlineLevel="0" collapsed="false">
      <c r="A20" s="11" t="s">
        <v>134</v>
      </c>
      <c r="B20" s="11"/>
      <c r="C20" s="11"/>
      <c r="D20" s="11"/>
      <c r="E20" s="11"/>
      <c r="F20" s="11"/>
      <c r="G20" s="11"/>
      <c r="H20" s="11"/>
      <c r="I20" s="11"/>
      <c r="J20" s="11"/>
      <c r="K20" s="11"/>
      <c r="L20" s="11"/>
      <c r="M20" s="11"/>
      <c r="N20" s="11"/>
      <c r="O20" s="11"/>
    </row>
    <row r="21" customFormat="false" ht="22.35" hidden="false" customHeight="true" outlineLevel="0" collapsed="false">
      <c r="A21" s="11" t="s">
        <v>135</v>
      </c>
      <c r="B21" s="11"/>
      <c r="C21" s="11"/>
      <c r="D21" s="11"/>
      <c r="E21" s="11"/>
      <c r="F21" s="11"/>
      <c r="G21" s="11"/>
      <c r="H21" s="11"/>
      <c r="I21" s="11"/>
      <c r="J21" s="11"/>
      <c r="K21" s="11"/>
      <c r="L21" s="11"/>
      <c r="M21" s="11"/>
      <c r="N21" s="11"/>
      <c r="O21" s="11"/>
    </row>
    <row r="22" customFormat="false" ht="15" hidden="false" customHeight="true" outlineLevel="0" collapsed="false">
      <c r="A22" s="11" t="s">
        <v>136</v>
      </c>
      <c r="B22" s="11"/>
      <c r="C22" s="11"/>
      <c r="D22" s="11"/>
      <c r="E22" s="11"/>
      <c r="F22" s="11"/>
      <c r="G22" s="11"/>
      <c r="H22" s="11"/>
      <c r="I22" s="11"/>
      <c r="J22" s="11"/>
      <c r="K22" s="11"/>
      <c r="L22" s="11"/>
      <c r="M22" s="11"/>
      <c r="N22" s="11"/>
      <c r="O22" s="11"/>
    </row>
    <row r="23" customFormat="false" ht="15" hidden="false" customHeight="true" outlineLevel="0" collapsed="false">
      <c r="A23" s="11" t="s">
        <v>137</v>
      </c>
      <c r="B23" s="11"/>
      <c r="C23" s="11"/>
      <c r="D23" s="11"/>
      <c r="E23" s="11"/>
      <c r="F23" s="11"/>
      <c r="G23" s="11"/>
      <c r="H23" s="11"/>
      <c r="I23" s="11"/>
      <c r="J23" s="11"/>
      <c r="K23" s="11"/>
      <c r="L23" s="11"/>
      <c r="M23" s="11"/>
      <c r="N23" s="11"/>
      <c r="O23" s="11"/>
    </row>
  </sheetData>
  <mergeCells count="5">
    <mergeCell ref="A1:O1"/>
    <mergeCell ref="A20:O20"/>
    <mergeCell ref="A21:O21"/>
    <mergeCell ref="A22:O22"/>
    <mergeCell ref="A23:O23"/>
  </mergeCells>
  <conditionalFormatting sqref="K8:K16">
    <cfRule type="cellIs" priority="2" operator="equal" aboveAverage="0" equalAverage="0" bottom="0" percent="0" rank="0" text="" dxfId="1">
      <formula>"High Risk"</formula>
    </cfRule>
    <cfRule type="cellIs" priority="3" operator="equal" aboveAverage="0" equalAverage="0" bottom="0" percent="0" rank="0" text="" dxfId="0">
      <formula>"Medium Risk"</formula>
    </cfRule>
    <cfRule type="cellIs" priority="4" operator="equal" aboveAverage="0" equalAverage="0" bottom="0" percent="0" rank="0" text="" dxfId="2">
      <formula>"Low Risk"</formula>
    </cfRule>
  </conditionalFormatting>
  <conditionalFormatting sqref="M8:M16">
    <cfRule type="cellIs" priority="5" operator="equal" aboveAverage="0" equalAverage="0" bottom="0" percent="0" rank="0" text="" dxfId="1">
      <formula>"High Risk"</formula>
    </cfRule>
    <cfRule type="cellIs" priority="6" operator="equal" aboveAverage="0" equalAverage="0" bottom="0" percent="0" rank="0" text="" dxfId="0">
      <formula>"Medium Risk"</formula>
    </cfRule>
    <cfRule type="cellIs" priority="7" operator="equal" aboveAverage="0" equalAverage="0" bottom="0" percent="0" rank="0" text="" dxfId="2">
      <formula>"Low Risk"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H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22"/>
    <col collapsed="false" customWidth="true" hidden="false" outlineLevel="0" max="4" min="4" style="0" width="30"/>
    <col collapsed="false" customWidth="true" hidden="false" outlineLevel="0" max="5" min="5" style="0" width="16"/>
    <col collapsed="false" customWidth="true" hidden="false" outlineLevel="0" max="7" min="6" style="0" width="14"/>
    <col collapsed="false" customWidth="true" hidden="false" outlineLevel="0" max="8" min="8" style="0" width="34"/>
  </cols>
  <sheetData>
    <row r="1" customFormat="false" ht="25.5" hidden="false" customHeight="true" outlineLevel="0" collapsed="false">
      <c r="A1" s="1" t="s">
        <v>138</v>
      </c>
      <c r="B1" s="1"/>
      <c r="C1" s="1"/>
      <c r="D1" s="1"/>
      <c r="E1" s="1"/>
      <c r="F1" s="1"/>
      <c r="G1" s="1"/>
      <c r="H1" s="1"/>
    </row>
    <row r="3" customFormat="false" ht="18" hidden="false" customHeight="true" outlineLevel="0" collapsed="false">
      <c r="A3" s="3" t="s">
        <v>139</v>
      </c>
      <c r="B3" s="3"/>
      <c r="C3" s="3"/>
      <c r="D3" s="3"/>
      <c r="E3" s="3"/>
      <c r="F3" s="3"/>
      <c r="G3" s="3"/>
      <c r="H3" s="3"/>
    </row>
    <row r="4" customFormat="false" ht="30" hidden="false" customHeight="true" outlineLevel="0" collapsed="false">
      <c r="A4" s="19" t="s">
        <v>140</v>
      </c>
      <c r="B4" s="19" t="s">
        <v>141</v>
      </c>
      <c r="C4" s="19" t="s">
        <v>142</v>
      </c>
    </row>
    <row r="5" customFormat="false" ht="15" hidden="false" customHeight="false" outlineLevel="0" collapsed="false">
      <c r="A5" s="28" t="s">
        <v>89</v>
      </c>
      <c r="B5" s="28" t="s">
        <v>143</v>
      </c>
      <c r="C5" s="28" t="s">
        <v>144</v>
      </c>
    </row>
    <row r="6" customFormat="false" ht="15" hidden="false" customHeight="false" outlineLevel="0" collapsed="false">
      <c r="A6" s="28" t="s">
        <v>145</v>
      </c>
      <c r="B6" s="28" t="s">
        <v>145</v>
      </c>
      <c r="C6" s="28" t="s">
        <v>146</v>
      </c>
    </row>
    <row r="7" customFormat="false" ht="15" hidden="false" customHeight="false" outlineLevel="0" collapsed="false">
      <c r="A7" s="28" t="s">
        <v>84</v>
      </c>
      <c r="B7" s="28" t="s">
        <v>147</v>
      </c>
      <c r="C7" s="28" t="s">
        <v>148</v>
      </c>
    </row>
    <row r="8" customFormat="false" ht="18" hidden="false" customHeight="true" outlineLevel="0" collapsed="false">
      <c r="A8" s="3" t="s">
        <v>149</v>
      </c>
      <c r="B8" s="3"/>
      <c r="C8" s="3"/>
      <c r="D8" s="3"/>
      <c r="E8" s="3"/>
      <c r="F8" s="3"/>
      <c r="G8" s="3"/>
      <c r="H8" s="3"/>
    </row>
    <row r="9" customFormat="false" ht="30" hidden="false" customHeight="true" outlineLevel="0" collapsed="false">
      <c r="A9" s="19" t="s">
        <v>24</v>
      </c>
      <c r="B9" s="19" t="s">
        <v>25</v>
      </c>
      <c r="C9" s="19" t="s">
        <v>119</v>
      </c>
      <c r="D9" s="19" t="s">
        <v>150</v>
      </c>
    </row>
    <row r="10" customFormat="false" ht="15" hidden="false" customHeight="false" outlineLevel="0" collapsed="false">
      <c r="A10" s="28" t="s">
        <v>82</v>
      </c>
      <c r="B10" s="28" t="s">
        <v>151</v>
      </c>
      <c r="C10" s="28" t="s">
        <v>152</v>
      </c>
      <c r="D10" s="28" t="s">
        <v>81</v>
      </c>
    </row>
    <row r="11" customFormat="false" ht="15" hidden="false" customHeight="false" outlineLevel="0" collapsed="false">
      <c r="A11" s="28" t="s">
        <v>131</v>
      </c>
      <c r="B11" s="28" t="s">
        <v>153</v>
      </c>
      <c r="C11" s="28" t="s">
        <v>154</v>
      </c>
      <c r="D11" s="28" t="s">
        <v>81</v>
      </c>
    </row>
    <row r="12" customFormat="false" ht="15" hidden="false" customHeight="false" outlineLevel="0" collapsed="false">
      <c r="A12" s="28" t="s">
        <v>132</v>
      </c>
      <c r="B12" s="28" t="s">
        <v>155</v>
      </c>
      <c r="C12" s="28" t="s">
        <v>152</v>
      </c>
      <c r="D12" s="28" t="s">
        <v>156</v>
      </c>
    </row>
    <row r="13" customFormat="false" ht="15" hidden="false" customHeight="false" outlineLevel="0" collapsed="false">
      <c r="A13" s="28" t="s">
        <v>93</v>
      </c>
      <c r="B13" s="28" t="s">
        <v>157</v>
      </c>
      <c r="C13" s="28" t="s">
        <v>158</v>
      </c>
      <c r="D13" s="28" t="s">
        <v>92</v>
      </c>
    </row>
    <row r="14" customFormat="false" ht="15" hidden="false" customHeight="false" outlineLevel="0" collapsed="false">
      <c r="A14" s="28" t="s">
        <v>99</v>
      </c>
      <c r="B14" s="28" t="s">
        <v>159</v>
      </c>
      <c r="C14" s="28" t="s">
        <v>154</v>
      </c>
      <c r="D14" s="28" t="s">
        <v>98</v>
      </c>
    </row>
    <row r="15" customFormat="false" ht="15" hidden="false" customHeight="false" outlineLevel="0" collapsed="false">
      <c r="A15" s="28" t="s">
        <v>133</v>
      </c>
      <c r="B15" s="28" t="s">
        <v>160</v>
      </c>
      <c r="C15" s="28" t="s">
        <v>158</v>
      </c>
      <c r="D15" s="28" t="s">
        <v>92</v>
      </c>
    </row>
    <row r="16" customFormat="false" ht="15" hidden="false" customHeight="false" outlineLevel="0" collapsed="false">
      <c r="A16" s="28" t="s">
        <v>104</v>
      </c>
      <c r="B16" s="28" t="s">
        <v>161</v>
      </c>
      <c r="C16" s="28" t="s">
        <v>162</v>
      </c>
      <c r="D16" s="28" t="s">
        <v>103</v>
      </c>
    </row>
    <row r="17" customFormat="false" ht="15" hidden="false" customHeight="false" outlineLevel="0" collapsed="false">
      <c r="A17" s="28" t="s">
        <v>108</v>
      </c>
      <c r="B17" s="28" t="s">
        <v>163</v>
      </c>
      <c r="C17" s="28" t="s">
        <v>152</v>
      </c>
      <c r="D17" s="28" t="s">
        <v>107</v>
      </c>
    </row>
    <row r="18" customFormat="false" ht="15" hidden="false" customHeight="false" outlineLevel="0" collapsed="false">
      <c r="A18" s="28" t="s">
        <v>88</v>
      </c>
      <c r="B18" s="28" t="s">
        <v>164</v>
      </c>
      <c r="C18" s="28" t="s">
        <v>154</v>
      </c>
      <c r="D18" s="28" t="s">
        <v>81</v>
      </c>
    </row>
    <row r="20" customFormat="false" ht="18" hidden="false" customHeight="true" outlineLevel="0" collapsed="false">
      <c r="A20" s="3" t="s">
        <v>165</v>
      </c>
      <c r="B20" s="3"/>
      <c r="C20" s="3"/>
      <c r="D20" s="3"/>
      <c r="E20" s="3"/>
      <c r="F20" s="3"/>
      <c r="G20" s="3"/>
      <c r="H20" s="3"/>
    </row>
    <row r="21" customFormat="false" ht="30" hidden="false" customHeight="true" outlineLevel="0" collapsed="false">
      <c r="A21" s="19" t="s">
        <v>26</v>
      </c>
      <c r="B21" s="19" t="s">
        <v>142</v>
      </c>
      <c r="C21" s="19" t="s">
        <v>166</v>
      </c>
      <c r="D21" s="19" t="s">
        <v>167</v>
      </c>
      <c r="E21" s="19" t="s">
        <v>168</v>
      </c>
      <c r="F21" s="19" t="s">
        <v>169</v>
      </c>
      <c r="G21" s="19" t="s">
        <v>170</v>
      </c>
      <c r="H21" s="19" t="s">
        <v>59</v>
      </c>
    </row>
    <row r="22" customFormat="false" ht="15" hidden="false" customHeight="false" outlineLevel="0" collapsed="false">
      <c r="A22" s="28" t="s">
        <v>81</v>
      </c>
      <c r="B22" s="28" t="s">
        <v>171</v>
      </c>
      <c r="C22" s="28" t="s">
        <v>172</v>
      </c>
      <c r="D22" s="28" t="s">
        <v>173</v>
      </c>
      <c r="E22" s="28" t="s">
        <v>174</v>
      </c>
      <c r="F22" s="29" t="n">
        <v>500</v>
      </c>
      <c r="G22" s="34" t="n">
        <v>3</v>
      </c>
      <c r="H22" s="28" t="s">
        <v>175</v>
      </c>
    </row>
    <row r="23" customFormat="false" ht="15" hidden="false" customHeight="false" outlineLevel="0" collapsed="false">
      <c r="A23" s="28" t="s">
        <v>156</v>
      </c>
      <c r="B23" s="28" t="s">
        <v>176</v>
      </c>
      <c r="C23" s="28" t="s">
        <v>177</v>
      </c>
      <c r="D23" s="28" t="s">
        <v>132</v>
      </c>
      <c r="E23" s="28" t="s">
        <v>178</v>
      </c>
      <c r="F23" s="29" t="n">
        <v>400</v>
      </c>
      <c r="G23" s="34" t="n">
        <v>2.5</v>
      </c>
      <c r="H23" s="28" t="s">
        <v>179</v>
      </c>
    </row>
    <row r="24" customFormat="false" ht="15" hidden="false" customHeight="false" outlineLevel="0" collapsed="false">
      <c r="A24" s="28" t="s">
        <v>92</v>
      </c>
      <c r="B24" s="28" t="s">
        <v>180</v>
      </c>
      <c r="C24" s="28" t="s">
        <v>181</v>
      </c>
      <c r="D24" s="28" t="s">
        <v>182</v>
      </c>
      <c r="E24" s="28" t="s">
        <v>183</v>
      </c>
      <c r="F24" s="29" t="n">
        <v>300</v>
      </c>
      <c r="G24" s="34" t="n">
        <v>3</v>
      </c>
      <c r="H24" s="28" t="s">
        <v>184</v>
      </c>
    </row>
    <row r="25" customFormat="false" ht="15" hidden="false" customHeight="false" outlineLevel="0" collapsed="false">
      <c r="A25" s="28" t="s">
        <v>98</v>
      </c>
      <c r="B25" s="28" t="s">
        <v>185</v>
      </c>
      <c r="C25" s="28" t="s">
        <v>186</v>
      </c>
      <c r="D25" s="28" t="s">
        <v>99</v>
      </c>
      <c r="E25" s="28" t="s">
        <v>187</v>
      </c>
      <c r="F25" s="29" t="n">
        <v>1000</v>
      </c>
      <c r="G25" s="34" t="n">
        <v>2</v>
      </c>
      <c r="H25" s="28" t="s">
        <v>188</v>
      </c>
    </row>
    <row r="26" customFormat="false" ht="15" hidden="false" customHeight="false" outlineLevel="0" collapsed="false">
      <c r="A26" s="28" t="s">
        <v>103</v>
      </c>
      <c r="B26" s="28" t="s">
        <v>176</v>
      </c>
      <c r="C26" s="28" t="s">
        <v>177</v>
      </c>
      <c r="D26" s="28" t="s">
        <v>104</v>
      </c>
      <c r="E26" s="28" t="s">
        <v>189</v>
      </c>
      <c r="F26" s="29" t="n">
        <v>200</v>
      </c>
      <c r="G26" s="34" t="n">
        <v>2</v>
      </c>
      <c r="H26" s="28" t="s">
        <v>190</v>
      </c>
    </row>
    <row r="27" customFormat="false" ht="15" hidden="false" customHeight="false" outlineLevel="0" collapsed="false">
      <c r="A27" s="28" t="s">
        <v>107</v>
      </c>
      <c r="B27" s="28" t="s">
        <v>191</v>
      </c>
      <c r="C27" s="28" t="s">
        <v>192</v>
      </c>
      <c r="D27" s="28" t="s">
        <v>108</v>
      </c>
      <c r="E27" s="28" t="s">
        <v>193</v>
      </c>
      <c r="F27" s="29" t="n">
        <v>500</v>
      </c>
      <c r="G27" s="34" t="n">
        <v>4</v>
      </c>
      <c r="H27" s="28" t="s">
        <v>194</v>
      </c>
    </row>
    <row r="29" customFormat="false" ht="18" hidden="false" customHeight="true" outlineLevel="0" collapsed="false">
      <c r="A29" s="3" t="s">
        <v>195</v>
      </c>
      <c r="B29" s="3"/>
      <c r="C29" s="3"/>
      <c r="D29" s="3"/>
      <c r="E29" s="3"/>
      <c r="F29" s="3"/>
      <c r="G29" s="3"/>
      <c r="H29" s="3"/>
    </row>
    <row r="30" customFormat="false" ht="30" hidden="false" customHeight="true" outlineLevel="0" collapsed="false">
      <c r="A30" s="19" t="s">
        <v>196</v>
      </c>
      <c r="B30" s="19" t="s">
        <v>197</v>
      </c>
      <c r="C30" s="19" t="s">
        <v>198</v>
      </c>
      <c r="D30" s="19" t="s">
        <v>199</v>
      </c>
      <c r="E30" s="19" t="s">
        <v>200</v>
      </c>
      <c r="F30" s="19" t="s">
        <v>201</v>
      </c>
    </row>
    <row r="31" customFormat="false" ht="15" hidden="false" customHeight="false" outlineLevel="0" collapsed="false">
      <c r="A31" s="28" t="s">
        <v>171</v>
      </c>
      <c r="B31" s="28" t="s">
        <v>89</v>
      </c>
      <c r="C31" s="35" t="n">
        <v>3</v>
      </c>
      <c r="D31" s="36" t="n">
        <v>5</v>
      </c>
      <c r="E31" s="37" t="n">
        <f aca="false">D31/7</f>
        <v>0.714285714285714</v>
      </c>
      <c r="F31" s="20" t="str">
        <f aca="false">A31&amp;"|"&amp;B31</f>
        <v>Shenzhen|US</v>
      </c>
    </row>
    <row r="32" customFormat="false" ht="15" hidden="false" customHeight="false" outlineLevel="0" collapsed="false">
      <c r="A32" s="28" t="s">
        <v>171</v>
      </c>
      <c r="B32" s="28" t="s">
        <v>145</v>
      </c>
      <c r="C32" s="35" t="n">
        <v>5</v>
      </c>
      <c r="D32" s="36" t="n">
        <v>7</v>
      </c>
      <c r="E32" s="37" t="n">
        <f aca="false">D32/7</f>
        <v>1</v>
      </c>
      <c r="F32" s="20" t="str">
        <f aca="false">A32&amp;"|"&amp;B32</f>
        <v>Shenzhen|UK</v>
      </c>
    </row>
    <row r="33" customFormat="false" ht="15" hidden="false" customHeight="false" outlineLevel="0" collapsed="false">
      <c r="A33" s="28" t="s">
        <v>171</v>
      </c>
      <c r="B33" s="28" t="s">
        <v>84</v>
      </c>
      <c r="C33" s="35" t="n">
        <v>0.285714285714286</v>
      </c>
      <c r="D33" s="36" t="n">
        <v>1</v>
      </c>
      <c r="E33" s="37" t="n">
        <f aca="false">D33/7</f>
        <v>0.142857142857143</v>
      </c>
      <c r="F33" s="20" t="str">
        <f aca="false">A33&amp;"|"&amp;B33</f>
        <v>Shenzhen|HK</v>
      </c>
    </row>
    <row r="34" customFormat="false" ht="15" hidden="false" customHeight="false" outlineLevel="0" collapsed="false">
      <c r="A34" s="28" t="s">
        <v>176</v>
      </c>
      <c r="B34" s="28" t="s">
        <v>89</v>
      </c>
      <c r="C34" s="35" t="n">
        <v>4.5</v>
      </c>
      <c r="D34" s="36" t="n">
        <v>6</v>
      </c>
      <c r="E34" s="37" t="n">
        <f aca="false">D34/7</f>
        <v>0.857142857142857</v>
      </c>
      <c r="F34" s="20" t="str">
        <f aca="false">A34&amp;"|"&amp;B34</f>
        <v>Chiang Mai|US</v>
      </c>
    </row>
    <row r="35" customFormat="false" ht="15" hidden="false" customHeight="false" outlineLevel="0" collapsed="false">
      <c r="A35" s="28" t="s">
        <v>176</v>
      </c>
      <c r="B35" s="28" t="s">
        <v>145</v>
      </c>
      <c r="C35" s="35" t="n">
        <v>4.5</v>
      </c>
      <c r="D35" s="36" t="n">
        <v>7</v>
      </c>
      <c r="E35" s="37" t="n">
        <f aca="false">D35/7</f>
        <v>1</v>
      </c>
      <c r="F35" s="20" t="str">
        <f aca="false">A35&amp;"|"&amp;B35</f>
        <v>Chiang Mai|UK</v>
      </c>
    </row>
    <row r="36" customFormat="false" ht="15" hidden="false" customHeight="false" outlineLevel="0" collapsed="false">
      <c r="A36" s="28" t="s">
        <v>176</v>
      </c>
      <c r="B36" s="28" t="s">
        <v>84</v>
      </c>
      <c r="C36" s="35" t="n">
        <v>4</v>
      </c>
      <c r="D36" s="36" t="n">
        <v>2</v>
      </c>
      <c r="E36" s="37" t="n">
        <f aca="false">D36/7</f>
        <v>0.285714285714286</v>
      </c>
      <c r="F36" s="20" t="str">
        <f aca="false">A36&amp;"|"&amp;B36</f>
        <v>Chiang Mai|HK</v>
      </c>
    </row>
    <row r="37" customFormat="false" ht="15" hidden="false" customHeight="false" outlineLevel="0" collapsed="false">
      <c r="A37" s="28" t="s">
        <v>180</v>
      </c>
      <c r="B37" s="28" t="s">
        <v>89</v>
      </c>
      <c r="C37" s="35" t="n">
        <v>4</v>
      </c>
      <c r="D37" s="36" t="n">
        <v>6</v>
      </c>
      <c r="E37" s="37" t="n">
        <f aca="false">D37/7</f>
        <v>0.857142857142857</v>
      </c>
      <c r="F37" s="20" t="str">
        <f aca="false">A37&amp;"|"&amp;B37</f>
        <v>Jakarta|US</v>
      </c>
    </row>
    <row r="38" customFormat="false" ht="15" hidden="false" customHeight="false" outlineLevel="0" collapsed="false">
      <c r="A38" s="28" t="s">
        <v>180</v>
      </c>
      <c r="B38" s="28" t="s">
        <v>145</v>
      </c>
      <c r="C38" s="35" t="n">
        <v>5</v>
      </c>
      <c r="D38" s="36" t="n">
        <v>7</v>
      </c>
      <c r="E38" s="37" t="n">
        <f aca="false">D38/7</f>
        <v>1</v>
      </c>
      <c r="F38" s="20" t="str">
        <f aca="false">A38&amp;"|"&amp;B38</f>
        <v>Jakarta|UK</v>
      </c>
    </row>
    <row r="39" customFormat="false" ht="15" hidden="false" customHeight="false" outlineLevel="0" collapsed="false">
      <c r="A39" s="28" t="s">
        <v>180</v>
      </c>
      <c r="B39" s="28" t="s">
        <v>84</v>
      </c>
      <c r="C39" s="35" t="n">
        <v>4</v>
      </c>
      <c r="D39" s="36" t="n">
        <v>2</v>
      </c>
      <c r="E39" s="37" t="n">
        <f aca="false">D39/7</f>
        <v>0.285714285714286</v>
      </c>
      <c r="F39" s="20" t="str">
        <f aca="false">A39&amp;"|"&amp;B39</f>
        <v>Jakarta|HK</v>
      </c>
    </row>
    <row r="40" customFormat="false" ht="15" hidden="false" customHeight="false" outlineLevel="0" collapsed="false">
      <c r="A40" s="28" t="s">
        <v>185</v>
      </c>
      <c r="B40" s="28" t="s">
        <v>89</v>
      </c>
      <c r="C40" s="35" t="n">
        <v>3</v>
      </c>
      <c r="D40" s="36" t="n">
        <v>4</v>
      </c>
      <c r="E40" s="37" t="n">
        <f aca="false">D40/7</f>
        <v>0.571428571428571</v>
      </c>
      <c r="F40" s="20" t="str">
        <f aca="false">A40&amp;"|"&amp;B40</f>
        <v>Taipei|US</v>
      </c>
    </row>
    <row r="41" customFormat="false" ht="15" hidden="false" customHeight="false" outlineLevel="0" collapsed="false">
      <c r="A41" s="28" t="s">
        <v>185</v>
      </c>
      <c r="B41" s="28" t="s">
        <v>145</v>
      </c>
      <c r="C41" s="35" t="n">
        <v>5</v>
      </c>
      <c r="D41" s="36" t="n">
        <v>6</v>
      </c>
      <c r="E41" s="37" t="n">
        <f aca="false">D41/7</f>
        <v>0.857142857142857</v>
      </c>
      <c r="F41" s="20" t="str">
        <f aca="false">A41&amp;"|"&amp;B41</f>
        <v>Taipei|UK</v>
      </c>
    </row>
    <row r="42" customFormat="false" ht="15" hidden="false" customHeight="false" outlineLevel="0" collapsed="false">
      <c r="A42" s="28" t="s">
        <v>185</v>
      </c>
      <c r="B42" s="28" t="s">
        <v>84</v>
      </c>
      <c r="C42" s="35" t="n">
        <v>0.285714285714286</v>
      </c>
      <c r="D42" s="36" t="n">
        <v>1</v>
      </c>
      <c r="E42" s="37" t="n">
        <f aca="false">D42/7</f>
        <v>0.142857142857143</v>
      </c>
      <c r="F42" s="20" t="str">
        <f aca="false">A42&amp;"|"&amp;B42</f>
        <v>Taipei|HK</v>
      </c>
    </row>
    <row r="43" customFormat="false" ht="15" hidden="false" customHeight="false" outlineLevel="0" collapsed="false">
      <c r="A43" s="28" t="s">
        <v>191</v>
      </c>
      <c r="B43" s="28" t="s">
        <v>89</v>
      </c>
      <c r="C43" s="35" t="n">
        <v>3.5</v>
      </c>
      <c r="D43" s="36" t="n">
        <v>5</v>
      </c>
      <c r="E43" s="37" t="n">
        <f aca="false">D43/7</f>
        <v>0.714285714285714</v>
      </c>
      <c r="F43" s="20" t="str">
        <f aca="false">A43&amp;"|"&amp;B43</f>
        <v>Ho Chi Minh City|US</v>
      </c>
    </row>
    <row r="44" customFormat="false" ht="15" hidden="false" customHeight="false" outlineLevel="0" collapsed="false">
      <c r="A44" s="28" t="s">
        <v>191</v>
      </c>
      <c r="B44" s="28" t="s">
        <v>145</v>
      </c>
      <c r="C44" s="35" t="n">
        <v>5</v>
      </c>
      <c r="D44" s="36" t="n">
        <v>7</v>
      </c>
      <c r="E44" s="37" t="n">
        <f aca="false">D44/7</f>
        <v>1</v>
      </c>
      <c r="F44" s="20" t="str">
        <f aca="false">A44&amp;"|"&amp;B44</f>
        <v>Ho Chi Minh City|UK</v>
      </c>
    </row>
    <row r="45" customFormat="false" ht="15" hidden="false" customHeight="false" outlineLevel="0" collapsed="false">
      <c r="A45" s="28" t="s">
        <v>191</v>
      </c>
      <c r="B45" s="28" t="s">
        <v>84</v>
      </c>
      <c r="C45" s="35" t="n">
        <v>3</v>
      </c>
      <c r="D45" s="36" t="n">
        <v>1</v>
      </c>
      <c r="E45" s="37" t="n">
        <f aca="false">D45/7</f>
        <v>0.142857142857143</v>
      </c>
      <c r="F45" s="20" t="str">
        <f aca="false">A45&amp;"|"&amp;B45</f>
        <v>Ho Chi Minh City|HK</v>
      </c>
    </row>
    <row r="47" customFormat="false" ht="15" hidden="false" customHeight="false" outlineLevel="0" collapsed="false">
      <c r="A47" s="10" t="s">
        <v>12</v>
      </c>
    </row>
    <row r="48" customFormat="false" ht="15" hidden="false" customHeight="true" outlineLevel="0" collapsed="false">
      <c r="A48" s="11" t="s">
        <v>202</v>
      </c>
      <c r="B48" s="11"/>
      <c r="C48" s="11"/>
      <c r="D48" s="11"/>
      <c r="E48" s="11"/>
      <c r="F48" s="11"/>
      <c r="G48" s="11"/>
      <c r="H48" s="11"/>
    </row>
    <row r="49" customFormat="false" ht="15" hidden="false" customHeight="true" outlineLevel="0" collapsed="false">
      <c r="A49" s="11" t="s">
        <v>203</v>
      </c>
      <c r="B49" s="11"/>
      <c r="C49" s="11"/>
      <c r="D49" s="11"/>
      <c r="E49" s="11"/>
      <c r="F49" s="11"/>
      <c r="G49" s="11"/>
      <c r="H49" s="11"/>
    </row>
    <row r="50" customFormat="false" ht="15" hidden="false" customHeight="true" outlineLevel="0" collapsed="false">
      <c r="A50" s="11" t="s">
        <v>204</v>
      </c>
      <c r="B50" s="11"/>
      <c r="C50" s="11"/>
      <c r="D50" s="11"/>
      <c r="E50" s="11"/>
      <c r="F50" s="11"/>
      <c r="G50" s="11"/>
      <c r="H50" s="11"/>
    </row>
    <row r="51" customFormat="false" ht="15" hidden="false" customHeight="true" outlineLevel="0" collapsed="false">
      <c r="A51" s="11" t="s">
        <v>205</v>
      </c>
      <c r="B51" s="11"/>
      <c r="C51" s="11"/>
      <c r="D51" s="11"/>
      <c r="E51" s="11"/>
      <c r="F51" s="11"/>
      <c r="G51" s="11"/>
      <c r="H51" s="11"/>
    </row>
    <row r="52" customFormat="false" ht="15" hidden="false" customHeight="true" outlineLevel="0" collapsed="false">
      <c r="A52" s="11" t="s">
        <v>206</v>
      </c>
      <c r="B52" s="11"/>
      <c r="C52" s="11"/>
      <c r="D52" s="11"/>
      <c r="E52" s="11"/>
      <c r="F52" s="11"/>
      <c r="G52" s="11"/>
      <c r="H52" s="11"/>
    </row>
  </sheetData>
  <mergeCells count="10">
    <mergeCell ref="A1:H1"/>
    <mergeCell ref="A3:H3"/>
    <mergeCell ref="A8:H8"/>
    <mergeCell ref="A20:H20"/>
    <mergeCell ref="A29:H29"/>
    <mergeCell ref="A48:H48"/>
    <mergeCell ref="A49:H49"/>
    <mergeCell ref="A50:H50"/>
    <mergeCell ref="A51:H51"/>
    <mergeCell ref="A52:H5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2026-08-11T02:24:03Z</dcterms:created>
  <dc:creator>openpyxl</dc:creator>
  <dc:description/>
  <dc:language>en-US</dc:language>
  <cp:lastModifiedBy/>
  <dcterms:modified xsi:type="dcterms:W3CDTF">2026-08-11T02:24:03Z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