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urchase Orders" sheetId="2" state="visible" r:id="rId4"/>
    <sheet name="Inventory &amp; Coverage" sheetId="3" state="visible" r:id="rId5"/>
    <sheet name="Reference Data"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<sst xmlns="http://schemas.openxmlformats.org/spreadsheetml/2006/main" count="279" uniqueCount="176">
  <si>
    <t xml:space="preserve">Supply Chain Tracker — Dashboard</t>
  </si>
  <si>
    <t xml:space="preserve">All figures below are calculated live from the Purchase Orders and Inventory &amp; Coverage sheets.</t>
  </si>
  <si>
    <t xml:space="preserve">Key Metrics</t>
  </si>
  <si>
    <t xml:space="preserve">Total Open POs</t>
  </si>
  <si>
    <t xml:space="preserve">Total SKUs Tracked</t>
  </si>
  <si>
    <t xml:space="preserve">POs — High Risk</t>
  </si>
  <si>
    <t xml:space="preserve">SKUs — High Stockout Risk (Total)</t>
  </si>
  <si>
    <t xml:space="preserve">POs — Medium Risk</t>
  </si>
  <si>
    <t xml:space="preserve">SKUs — Medium Stockout Risk (Total)</t>
  </si>
  <si>
    <t xml:space="preserve">POs — Low Risk</t>
  </si>
  <si>
    <t xml:space="preserve">SKUs — High Stockout Risk (UK)</t>
  </si>
  <si>
    <t xml:space="preserve">Total Units on Order</t>
  </si>
  <si>
    <t xml:space="preserve">Total On-Hand Inventory (All Whses)</t>
  </si>
  <si>
    <t xml:space="preserve">Open POs Shipping to UK</t>
  </si>
  <si>
    <t xml:space="preserve">Total UK On-Hand Inventory</t>
  </si>
  <si>
    <t xml:space="preserve">Any Open PO Shipping to UK?</t>
  </si>
  <si>
    <t xml:space="preserve">UK High-Risk SKUs w/ Zero Incoming UK PO</t>
  </si>
  <si>
    <t xml:space="preserve">PO Risk Breakdown</t>
  </si>
  <si>
    <t xml:space="preserve">SKU Stockout Risk Breakdown</t>
  </si>
  <si>
    <t xml:space="preserve">Risk Level</t>
  </si>
  <si>
    <t xml:space="preserve">Count</t>
  </si>
  <si>
    <t xml:space="preserve">Total Basis</t>
  </si>
  <si>
    <t xml:space="preserve">UK Basis</t>
  </si>
  <si>
    <t xml:space="preserve">High Risk</t>
  </si>
  <si>
    <t xml:space="preserve">Medium Risk</t>
  </si>
  <si>
    <t xml:space="preserve">Low Risk</t>
  </si>
  <si>
    <t xml:space="preserve">Review</t>
  </si>
  <si>
    <t xml:space="preserve">Key Alerts</t>
  </si>
  <si>
    <t xml:space="preserve">Purchase Orders</t>
  </si>
  <si>
    <t xml:space="preserve">Blue text = source input data entered from PO records. Black text = formulas (do not overwrite).</t>
  </si>
  <si>
    <t xml:space="preserve">PO #</t>
  </si>
  <si>
    <t xml:space="preserve">Factory</t>
  </si>
  <si>
    <t xml:space="preserve">Factory
City</t>
  </si>
  <si>
    <t xml:space="preserve">SKU</t>
  </si>
  <si>
    <t xml:space="preserve">Product</t>
  </si>
  <si>
    <t xml:space="preserve">Qty</t>
  </si>
  <si>
    <t xml:space="preserve">Status</t>
  </si>
  <si>
    <t xml:space="preserve">Destination
Warehouse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</si>
  <si>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</si>
  <si>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</si>
  <si>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</si>
  <si>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</si>
  <si>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</si>
  <si>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</si>
  <si>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</si>
  <si>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</si>
  <si>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</si>
  <si>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</si>
  <si>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</si>
  <si>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In production — on track</t>
  </si>
  <si>
    <t xml:space="preserve">HK</t>
  </si>
  <si>
    <t xml:space="preserve">Sea</t>
  </si>
  <si>
    <t xml:space="preserve">Ships to HK, ETA 3.5 weeks</t>
  </si>
  <si>
    <t xml:space="preserve">PO-411</t>
  </si>
  <si>
    <t xml:space="preserve">HN-NC-075</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</si>
  <si>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</si>
  <si>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</si>
  <si>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</si>
  <si>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</si>
  <si>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</si>
  <si>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</si>
  <si>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</si>
  <si>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</si>
  <si>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</si>
  <si>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</si>
  <si>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</si>
  <si>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</si>
  <si>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</si>
  <si>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</si>
  <si>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</si>
  <si>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</si>
  <si>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</si>
  <si>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</si>
  <si>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</si>
  <si>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</si>
  <si>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</si>
  <si>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TOTAL</t>
  </si>
  <si>
    <t xml:space="preserve">Notes &amp; Assumptions</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</si>
  <si>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</si>
  <si>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</si>
  <si>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</si>
  <si>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</si>
  <si>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</si>
  <si>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</si>
  <si>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</si>
  <si>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</si>
  <si>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</si>
  <si>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</si>
  <si>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</si>
  <si>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</si>
  <si>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</si>
  <si>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</si>
  <si>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</si>
  <si>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Weekly Sell-
Through Rate</t>
  </si>
  <si>
    <t xml:space="preserve">Total Weeks
of Cover</t>
  </si>
  <si>
    <t xml:space="preserve">Total Stockout
Risk</t>
  </si>
  <si>
    <t xml:space="preserve">UK Weeks
of Cover</t>
  </si>
  <si>
    <t xml:space="preserve">UK Stockout
Risk</t>
  </si>
  <si>
    <t xml:space="preserve">Open PO Qty
(All Dest.)</t>
  </si>
  <si>
    <t xml:space="preserve">Open PO Qty
to UK</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</si>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</sst>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5">
    <numFmt numFmtId="164" formatCode="General"/>
    <numFmt numFmtId="165" formatCode="General"/>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right" vertical="center" textRotation="0" wrapText="false" indent="0" shrinkToFit="false"/>
      <protection locked="true" hidden="false"/>
    </xf>
    <xf numFmtId="167" fontId="10" fillId="0" borderId="1" xfId="0" applyFont="true" applyBorder="true" applyAlignment="true" applyProtection="false">
      <alignment horizontal="right" vertical="center" textRotation="0" wrapText="false" indent="0" shrinkToFit="false"/>
      <protection locked="true" hidden="false"/>
    </xf>
    <xf numFmtId="167" fontId="11" fillId="0" borderId="1" xfId="0" applyFont="true" applyBorder="true" applyAlignment="true" applyProtection="false">
      <alignment horizontal="right" vertical="center" textRotation="0" wrapText="false" indent="0" shrinkToFit="false"/>
      <protection locked="true" hidden="false"/>
    </xf>
    <xf numFmtId="168" fontId="11" fillId="0"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left" vertical="center" textRotation="0" wrapText="false" indent="0" shrinkToFit="false"/>
      <protection locked="true" hidden="false"/>
    </xf>
    <xf numFmtId="168" fontId="10"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b val="1"/>
        <color rgb="FF1F4E78"/>
      </font>
      <fill>
        <patternFill>
          <bgColor rgb="FFBDD7E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 collapsed="false" customWidth="true" hidden="false" outlineLevel="0" max="6" min="6" style="0" width="12"/>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4" customFormat="false" ht="18" hidden="false" customHeight="true" outlineLevel="0" collapsed="false">
      <c r="A4" s="3" t="s">
        <v>2</v>
      </c>
      <c r="B4" s="3"/>
      <c r="C4" s="3"/>
      <c r="D4" s="3"/>
      <c r="E4" s="3"/>
    </row>
    <row r="5" customFormat="false" ht="15" hidden="false" customHeight="false" outlineLevel="0" collapsed="false">
      <c r="A5" s="4" t="s">
        <v>3</v>
      </c>
      <c r="B5" s="5" t="n">
        <f aca="false">COUNTA('Purchase Orders'!A6:A11)</f>
        <v>6</v>
      </c>
      <c r="D5" s="4" t="s">
        <v>4</v>
      </c>
      <c r="E5" s="5" t="n">
        <f aca="false">COUNTA('Inventory &amp; Coverage'!A8:A16)</f>
        <v>9</v>
      </c>
    </row>
    <row r="6" customFormat="false" ht="15" hidden="false" customHeight="false" outlineLevel="0" collapsed="false">
      <c r="A6" s="4" t="s">
        <v>5</v>
      </c>
      <c r="B6" s="5" t="n">
        <f aca="false">COUNTIF('Purchase Orders'!O6:O11,"High Risk")</f>
        <v>2</v>
      </c>
      <c r="D6" s="4" t="s">
        <v>6</v>
      </c>
      <c r="E6" s="5" t="n">
        <f aca="false">COUNTIF('Inventory &amp; Coverage'!K8:K16,"High Risk")</f>
        <v>0</v>
      </c>
    </row>
    <row r="7" customFormat="false" ht="15" hidden="false" customHeight="false" outlineLevel="0" collapsed="false">
      <c r="A7" s="4" t="s">
        <v>7</v>
      </c>
      <c r="B7" s="5" t="n">
        <f aca="false">COUNTIF('Purchase Orders'!O6:O11,"Medium Risk")</f>
        <v>1</v>
      </c>
      <c r="D7" s="4" t="s">
        <v>8</v>
      </c>
      <c r="E7" s="5" t="n">
        <f aca="false">COUNTIF('Inventory &amp; Coverage'!K8:K16,"Medium Risk")</f>
        <v>9</v>
      </c>
    </row>
    <row r="8" customFormat="false" ht="15" hidden="false" customHeight="false" outlineLevel="0" collapsed="false">
      <c r="A8" s="4" t="s">
        <v>9</v>
      </c>
      <c r="B8" s="5" t="n">
        <f aca="false">COUNTIF('Purchase Orders'!O6:O11,"Low Risk")</f>
        <v>3</v>
      </c>
      <c r="D8" s="4" t="s">
        <v>10</v>
      </c>
      <c r="E8" s="5" t="n">
        <f aca="false">COUNTIF('Inventory &amp; Coverage'!M8:M16,"High Risk")</f>
        <v>9</v>
      </c>
    </row>
    <row r="9" customFormat="false" ht="15" hidden="false" customHeight="false" outlineLevel="0" collapsed="false">
      <c r="A9" s="4" t="s">
        <v>11</v>
      </c>
      <c r="B9" s="6" t="n">
        <f aca="false">SUM('Purchase Orders'!F6:F11)</f>
        <v>3000</v>
      </c>
      <c r="D9" s="4" t="s">
        <v>12</v>
      </c>
      <c r="E9" s="6" t="n">
        <f aca="false">SUM('Inventory &amp; Coverage'!H8:H16)</f>
        <v>1966</v>
      </c>
    </row>
    <row r="10" customFormat="false" ht="15" hidden="false" customHeight="false" outlineLevel="0" collapsed="false">
      <c r="A10" s="4" t="s">
        <v>13</v>
      </c>
      <c r="B10" s="5" t="n">
        <f aca="false">COUNTIF('Purchase Orders'!H6:H11,"UK")</f>
        <v>0</v>
      </c>
      <c r="D10" s="4" t="s">
        <v>14</v>
      </c>
      <c r="E10" s="6" t="n">
        <f aca="false">SUM('Inventory &amp; Coverage'!F8:F16)</f>
        <v>221</v>
      </c>
    </row>
    <row r="11" customFormat="false" ht="15" hidden="false" customHeight="false" outlineLevel="0" collapsed="false">
      <c r="A11" s="4" t="s">
        <v>15</v>
      </c>
      <c r="B11" s="7" t="str">
        <f aca="false">IF(B10&gt;0,"Yes","No")</f>
        <v>No</v>
      </c>
      <c r="D11" s="4" t="s">
        <v>16</v>
      </c>
      <c r="E11" s="5" t="n">
        <f aca="false">SUMPRODUCT(('Inventory &amp; Coverage'!M8:M16="High Risk")*('Inventory &amp; Coverage'!O8:O16=0))</f>
        <v>9</v>
      </c>
    </row>
    <row r="13" customFormat="false" ht="18" hidden="false" customHeight="true" outlineLevel="0" collapsed="false">
      <c r="A13" s="3" t="s">
        <v>17</v>
      </c>
      <c r="B13" s="3"/>
      <c r="D13" s="3" t="s">
        <v>18</v>
      </c>
      <c r="E13" s="3"/>
      <c r="F13" s="3"/>
    </row>
    <row r="14" customFormat="false" ht="30" hidden="false" customHeight="true" outlineLevel="0" collapsed="false">
      <c r="A14" s="8" t="s">
        <v>19</v>
      </c>
      <c r="B14" s="8" t="s">
        <v>20</v>
      </c>
      <c r="D14" s="8" t="s">
        <v>19</v>
      </c>
      <c r="E14" s="8" t="s">
        <v>21</v>
      </c>
      <c r="F14" s="8" t="s">
        <v>22</v>
      </c>
    </row>
    <row r="15" customFormat="false" ht="15" hidden="false" customHeight="false" outlineLevel="0" collapsed="false">
      <c r="A15" s="9" t="s">
        <v>23</v>
      </c>
      <c r="B15" s="10" t="n">
        <f aca="false">COUNTIF('Purchase Orders'!O6:O11,"High Risk")</f>
        <v>2</v>
      </c>
      <c r="D15" s="9" t="s">
        <v>23</v>
      </c>
      <c r="E15" s="10" t="n">
        <f aca="false">COUNTIF('Inventory &amp; Coverage'!K8:K16,"High Risk")</f>
        <v>0</v>
      </c>
      <c r="F15" s="10" t="n">
        <f aca="false">COUNTIF('Inventory &amp; Coverage'!M8:M16,"High Risk")</f>
        <v>9</v>
      </c>
    </row>
    <row r="16" customFormat="false" ht="15" hidden="false" customHeight="false" outlineLevel="0" collapsed="false">
      <c r="A16" s="9" t="s">
        <v>24</v>
      </c>
      <c r="B16" s="10" t="n">
        <f aca="false">COUNTIF('Purchase Orders'!O6:O11,"Medium Risk")</f>
        <v>1</v>
      </c>
      <c r="D16" s="9" t="s">
        <v>24</v>
      </c>
      <c r="E16" s="10" t="n">
        <f aca="false">COUNTIF('Inventory &amp; Coverage'!K8:K16,"Medium Risk")</f>
        <v>9</v>
      </c>
      <c r="F16" s="10" t="n">
        <f aca="false">COUNTIF('Inventory &amp; Coverage'!M8:M16,"Medium Risk")</f>
        <v>0</v>
      </c>
    </row>
    <row r="17" customFormat="false" ht="15" hidden="false" customHeight="false" outlineLevel="0" collapsed="false">
      <c r="A17" s="9" t="s">
        <v>25</v>
      </c>
      <c r="B17" s="10" t="n">
        <f aca="false">COUNTIF('Purchase Orders'!O6:O11,"Low Risk")</f>
        <v>3</v>
      </c>
      <c r="D17" s="9" t="s">
        <v>25</v>
      </c>
      <c r="E17" s="10" t="n">
        <f aca="false">COUNTIF('Inventory &amp; Coverage'!K8:K16,"Low Risk")</f>
        <v>0</v>
      </c>
      <c r="F17" s="10" t="n">
        <f aca="false">COUNTIF('Inventory &amp; Coverage'!M8:M16,"Low Risk")</f>
        <v>0</v>
      </c>
    </row>
    <row r="18" customFormat="false" ht="15" hidden="false" customHeight="false" outlineLevel="0" collapsed="false">
      <c r="A18" s="9" t="s">
        <v>26</v>
      </c>
      <c r="B18" s="10" t="n">
        <f aca="false">COUNTIF('Purchase Orders'!O6:O11,"Review")</f>
        <v>0</v>
      </c>
    </row>
    <row r="20" customFormat="false" ht="18" hidden="false" customHeight="true" outlineLevel="0" collapsed="false">
      <c r="A20" s="3" t="s">
        <v>27</v>
      </c>
      <c r="B20" s="3"/>
      <c r="C20" s="3"/>
      <c r="D20" s="3"/>
      <c r="E20" s="3"/>
      <c r="F20" s="3"/>
    </row>
    <row r="21" customFormat="false" ht="18" hidden="false" customHeight="true" outlineLevel="0" collapsed="false">
      <c r="A21" s="11" t="str">
        <f aca="false">"UK Warehouse Shipping: "&amp;IF(B10=0,"No open purchase orders are currently shipping to the UK warehouse.",B10&amp;" open PO(s) shipping to UK.")</f>
        <v>UK Warehouse Shipping: No open purchase orders are currently shipping to the UK warehouse.</v>
      </c>
      <c r="B21" s="11"/>
      <c r="C21" s="11"/>
      <c r="D21" s="11"/>
      <c r="E21" s="11"/>
      <c r="F21" s="11"/>
    </row>
    <row r="22" customFormat="false" ht="18" hidden="false" customHeight="true" outlineLevel="0" collapsed="false">
      <c r="A22" s="11" t="str">
        <f aca="false">"UK Stockout Risk: "&amp;E8&amp;" of "&amp;E5&amp;" SKUs are at High stockout risk in the UK warehouse; "&amp;E11&amp;" of those currently have zero replenishment in transit to UK."</f>
        <v>UK Stockout Risk: 9 of 9 SKUs are at High stockout risk in the UK warehouse; 9 of those currently have zero replenishment in transit to UK.</v>
      </c>
      <c r="B22" s="11"/>
      <c r="C22" s="11"/>
      <c r="D22" s="11"/>
      <c r="E22" s="11"/>
      <c r="F22" s="11"/>
    </row>
    <row r="23" customFormat="false" ht="18" hidden="false" customHeight="true" outlineLevel="0" collapsed="false">
      <c r="A23" s="11" t="str">
        <f aca="false">"Purchase Order Risk: "&amp;B6&amp;" of "&amp;B5&amp;" open PO(s) are flagged High Risk and require follow-up."</f>
        <v>Purchase Order Risk: 2 of 6 open PO(s) are flagged High Risk and require follow-up.</v>
      </c>
      <c r="B23" s="11"/>
      <c r="C23" s="11"/>
      <c r="D23" s="11"/>
      <c r="E23" s="11"/>
      <c r="F23" s="11"/>
    </row>
  </sheetData>
  <mergeCells count="9">
    <mergeCell ref="A1:E1"/>
    <mergeCell ref="A2:E2"/>
    <mergeCell ref="A4:E4"/>
    <mergeCell ref="A13:B13"/>
    <mergeCell ref="D13:F13"/>
    <mergeCell ref="A20:F20"/>
    <mergeCell ref="A21:F21"/>
    <mergeCell ref="A22:F22"/>
    <mergeCell ref="A23:F23"/>
  </mergeCells>
  <conditionalFormatting sqref="B11">
    <cfRule type="cellIs" priority="2" operator="equal" aboveAverage="0" equalAverage="0" bottom="0" percent="0" rank="0" text="" dxfId="0">
      <formula>"No"</formula>
    </cfRule>
    <cfRule type="cellIs" priority="3" operator="equal" aboveAverage="0" equalAverage="0" bottom="0" percent="0" rank="0" text="" dxfId="1">
      <formula>"Yes"</formula>
    </cfRule>
  </conditionalFormatting>
  <conditionalFormatting sqref="A15:A18">
    <cfRule type="cellIs" priority="4" operator="equal" aboveAverage="0" equalAverage="0" bottom="0" percent="0" rank="0" text="" dxfId="0">
      <formula>"High Risk"</formula>
    </cfRule>
    <cfRule type="cellIs" priority="5" operator="equal" aboveAverage="0" equalAverage="0" bottom="0" percent="0" rank="0" text="" dxfId="2">
      <formula>"Medium Risk"</formula>
    </cfRule>
    <cfRule type="cellIs" priority="6" operator="equal" aboveAverage="0" equalAverage="0" bottom="0" percent="0" rank="0" text="" dxfId="1">
      <formula>"Low Risk"</formula>
    </cfRule>
  </conditionalFormatting>
  <conditionalFormatting sqref="D15:D17">
    <cfRule type="cellIs" priority="7" operator="equal" aboveAverage="0" equalAverage="0" bottom="0" percent="0" rank="0" text="" dxfId="0">
      <formula>"High Risk"</formula>
    </cfRule>
    <cfRule type="cellIs" priority="8" operator="equal" aboveAverage="0" equalAverage="0" bottom="0" percent="0" rank="0" text="" dxfId="2">
      <formula>"Medium Risk"</formula>
    </cfRule>
    <cfRule type="cellIs" priority="9" operator="equal" aboveAverage="0" equalAverage="0" bottom="0" percent="0" rank="0" text="" dxfId="1">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28</v>
      </c>
      <c r="B1" s="1"/>
      <c r="C1" s="1"/>
      <c r="D1" s="1"/>
      <c r="E1" s="1"/>
      <c r="F1" s="1"/>
      <c r="G1" s="1"/>
      <c r="H1" s="1"/>
      <c r="I1" s="1"/>
      <c r="J1" s="1"/>
      <c r="K1" s="1"/>
      <c r="L1" s="1"/>
      <c r="M1" s="1"/>
      <c r="N1" s="1"/>
      <c r="O1" s="1"/>
      <c r="P1" s="1"/>
    </row>
    <row r="3" customFormat="false" ht="15" hidden="false" customHeight="false" outlineLevel="0" collapsed="false">
      <c r="A3" s="2" t="s">
        <v>29</v>
      </c>
      <c r="B3" s="2"/>
      <c r="C3" s="2"/>
      <c r="D3" s="2"/>
      <c r="E3" s="2"/>
      <c r="F3" s="2"/>
      <c r="G3" s="2"/>
      <c r="H3" s="2"/>
      <c r="I3" s="2"/>
      <c r="J3" s="2"/>
      <c r="K3" s="2"/>
      <c r="L3" s="2"/>
      <c r="M3" s="2"/>
      <c r="N3" s="2"/>
      <c r="O3" s="2"/>
      <c r="P3" s="2"/>
    </row>
    <row r="5" customFormat="false" ht="30" hidden="false" customHeight="true" outlineLevel="0" collapsed="false">
      <c r="A5" s="8" t="s">
        <v>30</v>
      </c>
      <c r="B5" s="8" t="s">
        <v>31</v>
      </c>
      <c r="C5" s="8" t="s">
        <v>32</v>
      </c>
      <c r="D5" s="8" t="s">
        <v>33</v>
      </c>
      <c r="E5" s="8" t="s">
        <v>34</v>
      </c>
      <c r="F5" s="8" t="s">
        <v>35</v>
      </c>
      <c r="G5" s="8" t="s">
        <v>36</v>
      </c>
      <c r="H5" s="8" t="s">
        <v>37</v>
      </c>
      <c r="I5" s="8" t="s">
        <v>38</v>
      </c>
      <c r="J5" s="8" t="s">
        <v>39</v>
      </c>
      <c r="K5" s="8" t="s">
        <v>40</v>
      </c>
      <c r="L5" s="8" t="s">
        <v>41</v>
      </c>
      <c r="M5" s="8" t="s">
        <v>42</v>
      </c>
      <c r="N5" s="8" t="s">
        <v>43</v>
      </c>
      <c r="O5" s="8" t="s">
        <v>44</v>
      </c>
      <c r="P5" s="8" t="s">
        <v>45</v>
      </c>
    </row>
    <row r="6" customFormat="false" ht="15" hidden="false" customHeight="false" outlineLevel="0" collapsed="false">
      <c r="A6" s="12" t="s">
        <v>46</v>
      </c>
      <c r="B6" s="12" t="s">
        <v>47</v>
      </c>
      <c r="C6" s="9" t="str">
        <f aca="false">IFERROR(INDEX('Reference Data'!$B$22:$B$27,MATCH(B6,'Reference Data'!$A$22:$A$27,0)),"N/A")</f>
        <v>Shenzhen</v>
      </c>
      <c r="D6" s="12" t="s">
        <v>48</v>
      </c>
      <c r="E6" s="9" t="str">
        <f aca="false">IFERROR(INDEX('Reference Data'!$B$10:$B$18,MATCH(D6,'Reference Data'!$A$10:$A$18,0)),"N/A")</f>
        <v>Recovery Balm 300ml</v>
      </c>
      <c r="F6" s="13" t="n">
        <v>500</v>
      </c>
      <c r="G6" s="12" t="s">
        <v>49</v>
      </c>
      <c r="H6" s="14" t="s">
        <v>50</v>
      </c>
      <c r="I6" s="14" t="s">
        <v>51</v>
      </c>
      <c r="J6" s="12" t="s">
        <v>52</v>
      </c>
      <c r="K6" s="15" t="n">
        <v>3.5</v>
      </c>
      <c r="L6" s="16" t="n">
        <f aca="false">IFERROR(INDEX('Reference Data'!$C$31:$C$45,MATCH($C6&amp;"|"&amp;$H6,'Reference Data'!$F$31:$F$45,0)),"N/A")</f>
        <v>0.285714285714286</v>
      </c>
      <c r="M6" s="16" t="n">
        <f aca="false">IFERROR(INDEX('Reference Data'!$E$31:$E$45,MATCH($C6&amp;"|"&amp;$H6,'Reference Data'!$F$31:$F$45,0)),"N/A")</f>
        <v>0.142857142857143</v>
      </c>
      <c r="N6" s="16" t="n">
        <f aca="false">IF(I6="Air",M6,IF(I6="Sea",L6,"N/A"))</f>
        <v>0.285714285714286</v>
      </c>
      <c r="O6" s="17" t="str">
        <f aca="false">IF(ISNUMBER(SEARCH("delayed",G6)),"High Risk",IF(ISNUMBER(SEARCH("Unconfirmed",G6)),"High Risk",IF(ISNUMBER(SEARCH("Completed",G6)),"Medium Risk",IF(ISNUMBER(SEARCH("on track",G6)),"Low Risk","Review"))))</f>
        <v>Low Risk</v>
      </c>
      <c r="P6" s="17" t="str">
        <f aca="false">IF(H6="UK","Yes","No")</f>
        <v>No</v>
      </c>
    </row>
    <row r="7" customFormat="false" ht="15" hidden="false" customHeight="false" outlineLevel="0" collapsed="false">
      <c r="A7" s="12" t="s">
        <v>53</v>
      </c>
      <c r="B7" s="12" t="s">
        <v>47</v>
      </c>
      <c r="C7" s="9" t="str">
        <f aca="false">IFERROR(INDEX('Reference Data'!$B$22:$B$27,MATCH(B7,'Reference Data'!$A$22:$A$27,0)),"N/A")</f>
        <v>Shenzhen</v>
      </c>
      <c r="D7" s="12" t="s">
        <v>54</v>
      </c>
      <c r="E7" s="9" t="str">
        <f aca="false">IFERROR(INDEX('Reference Data'!$B$10:$B$18,MATCH(D7,'Reference Data'!$A$10:$A$18,0)),"N/A")</f>
        <v>Night Cream 75ml</v>
      </c>
      <c r="F7" s="13" t="n">
        <v>500</v>
      </c>
      <c r="G7" s="12" t="s">
        <v>49</v>
      </c>
      <c r="H7" s="14" t="s">
        <v>55</v>
      </c>
      <c r="I7" s="14" t="s">
        <v>51</v>
      </c>
      <c r="J7" s="12" t="s">
        <v>56</v>
      </c>
      <c r="K7" s="15" t="n">
        <v>4</v>
      </c>
      <c r="L7" s="16" t="n">
        <f aca="false">IFERROR(INDEX('Reference Data'!$C$31:$C$45,MATCH($C7&amp;"|"&amp;$H7,'Reference Data'!$F$31:$F$45,0)),"N/A")</f>
        <v>3</v>
      </c>
      <c r="M7" s="16" t="n">
        <f aca="false">IFERROR(INDEX('Reference Data'!$E$31:$E$45,MATCH($C7&amp;"|"&amp;$H7,'Reference Data'!$F$31:$F$45,0)),"N/A")</f>
        <v>0.714285714285714</v>
      </c>
      <c r="N7" s="16" t="n">
        <f aca="false">IF(I7="Air",M7,IF(I7="Sea",L7,"N/A"))</f>
        <v>3</v>
      </c>
      <c r="O7" s="17" t="str">
        <f aca="false">IF(ISNUMBER(SEARCH("delayed",G7)),"High Risk",IF(ISNUMBER(SEARCH("Unconfirmed",G7)),"High Risk",IF(ISNUMBER(SEARCH("Completed",G7)),"Medium Risk",IF(ISNUMBER(SEARCH("on track",G7)),"Low Risk","Review"))))</f>
        <v>Low Risk</v>
      </c>
      <c r="P7" s="17" t="str">
        <f aca="false">IF(H7="UK","Yes","No")</f>
        <v>No</v>
      </c>
    </row>
    <row r="8" customFormat="false" ht="15" hidden="false" customHeight="false" outlineLevel="0" collapsed="false">
      <c r="A8" s="12" t="s">
        <v>57</v>
      </c>
      <c r="B8" s="12" t="s">
        <v>58</v>
      </c>
      <c r="C8" s="9" t="str">
        <f aca="false">IFERROR(INDEX('Reference Data'!$B$22:$B$27,MATCH(B8,'Reference Data'!$A$22:$A$27,0)),"N/A")</f>
        <v>Jakarta</v>
      </c>
      <c r="D8" s="12" t="s">
        <v>59</v>
      </c>
      <c r="E8" s="9" t="str">
        <f aca="false">IFERROR(INDEX('Reference Data'!$B$10:$B$18,MATCH(D8,'Reference Data'!$A$10:$A$18,0)),"N/A")</f>
        <v>Hair Mask 100ml</v>
      </c>
      <c r="F8" s="13" t="n">
        <v>300</v>
      </c>
      <c r="G8" s="12" t="s">
        <v>60</v>
      </c>
      <c r="H8" s="14" t="s">
        <v>61</v>
      </c>
      <c r="I8" s="14" t="s">
        <v>61</v>
      </c>
      <c r="J8" s="12" t="s">
        <v>62</v>
      </c>
      <c r="K8" s="14" t="s">
        <v>61</v>
      </c>
      <c r="L8" s="16" t="str">
        <f aca="false">IFERROR(INDEX('Reference Data'!$C$31:$C$45,MATCH($C8&amp;"|"&amp;$H8,'Reference Data'!$F$31:$F$45,0)),"N/A")</f>
        <v>N/A</v>
      </c>
      <c r="M8" s="16" t="str">
        <f aca="false">IFERROR(INDEX('Reference Data'!$E$31:$E$45,MATCH($C8&amp;"|"&amp;$H8,'Reference Data'!$F$31:$F$45,0)),"N/A")</f>
        <v>N/A</v>
      </c>
      <c r="N8" s="16" t="str">
        <f aca="false">IF(I8="Air",M8,IF(I8="Sea",L8,"N/A"))</f>
        <v>N/A</v>
      </c>
      <c r="O8" s="17" t="str">
        <f aca="false">IF(ISNUMBER(SEARCH("delayed",G8)),"High Risk",IF(ISNUMBER(SEARCH("Unconfirmed",G8)),"High Risk",IF(ISNUMBER(SEARCH("Completed",G8)),"Medium Risk",IF(ISNUMBER(SEARCH("on track",G8)),"Low Risk","Review"))))</f>
        <v>High Risk</v>
      </c>
      <c r="P8" s="17" t="str">
        <f aca="false">IF(H8="UK","Yes","No")</f>
        <v>No</v>
      </c>
    </row>
    <row r="9" customFormat="false" ht="15" hidden="false" customHeight="false" outlineLevel="0" collapsed="false">
      <c r="A9" s="12" t="s">
        <v>63</v>
      </c>
      <c r="B9" s="12" t="s">
        <v>64</v>
      </c>
      <c r="C9" s="9" t="str">
        <f aca="false">IFERROR(INDEX('Reference Data'!$B$22:$B$27,MATCH(B9,'Reference Data'!$A$22:$A$27,0)),"N/A")</f>
        <v>Taipei</v>
      </c>
      <c r="D9" s="12" t="s">
        <v>65</v>
      </c>
      <c r="E9" s="9" t="str">
        <f aca="false">IFERROR(INDEX('Reference Data'!$B$10:$B$18,MATCH(D9,'Reference Data'!$A$10:$A$18,0)),"N/A")</f>
        <v>Lip Balm 3-Pack</v>
      </c>
      <c r="F9" s="13" t="n">
        <v>1000</v>
      </c>
      <c r="G9" s="12" t="s">
        <v>66</v>
      </c>
      <c r="H9" s="14" t="s">
        <v>61</v>
      </c>
      <c r="I9" s="14" t="s">
        <v>61</v>
      </c>
      <c r="J9" s="12" t="s">
        <v>67</v>
      </c>
      <c r="K9" s="14" t="s">
        <v>61</v>
      </c>
      <c r="L9" s="16" t="str">
        <f aca="false">IFERROR(INDEX('Reference Data'!$C$31:$C$45,MATCH($C9&amp;"|"&amp;$H9,'Reference Data'!$F$31:$F$45,0)),"N/A")</f>
        <v>N/A</v>
      </c>
      <c r="M9" s="16" t="str">
        <f aca="false">IFERROR(INDEX('Reference Data'!$E$31:$E$45,MATCH($C9&amp;"|"&amp;$H9,'Reference Data'!$F$31:$F$45,0)),"N/A")</f>
        <v>N/A</v>
      </c>
      <c r="N9" s="16" t="str">
        <f aca="false">IF(I9="Air",M9,IF(I9="Sea",L9,"N/A"))</f>
        <v>N/A</v>
      </c>
      <c r="O9" s="17" t="str">
        <f aca="false">IF(ISNUMBER(SEARCH("delayed",G9)),"High Risk",IF(ISNUMBER(SEARCH("Unconfirmed",G9)),"High Risk",IF(ISNUMBER(SEARCH("Completed",G9)),"Medium Risk",IF(ISNUMBER(SEARCH("on track",G9)),"Low Risk","Review"))))</f>
        <v>Medium Risk</v>
      </c>
      <c r="P9" s="17" t="str">
        <f aca="false">IF(H9="UK","Yes","No")</f>
        <v>No</v>
      </c>
    </row>
    <row r="10" customFormat="false" ht="15" hidden="false" customHeight="false" outlineLevel="0" collapsed="false">
      <c r="A10" s="12" t="s">
        <v>68</v>
      </c>
      <c r="B10" s="12" t="s">
        <v>69</v>
      </c>
      <c r="C10" s="9" t="str">
        <f aca="false">IFERROR(INDEX('Reference Data'!$B$22:$B$27,MATCH(B10,'Reference Data'!$A$22:$A$27,0)),"N/A")</f>
        <v>Chiang Mai</v>
      </c>
      <c r="D10" s="12" t="s">
        <v>70</v>
      </c>
      <c r="E10" s="9" t="str">
        <f aca="false">IFERROR(INDEX('Reference Data'!$B$10:$B$18,MATCH(D10,'Reference Data'!$A$10:$A$18,0)),"N/A")</f>
        <v>Essential Oil Blend 30ml</v>
      </c>
      <c r="F10" s="13" t="n">
        <v>200</v>
      </c>
      <c r="G10" s="12" t="s">
        <v>71</v>
      </c>
      <c r="H10" s="14" t="s">
        <v>61</v>
      </c>
      <c r="I10" s="14" t="s">
        <v>61</v>
      </c>
      <c r="J10" s="12" t="s">
        <v>61</v>
      </c>
      <c r="K10" s="14" t="s">
        <v>61</v>
      </c>
      <c r="L10" s="16" t="str">
        <f aca="false">IFERROR(INDEX('Reference Data'!$C$31:$C$45,MATCH($C10&amp;"|"&amp;$H10,'Reference Data'!$F$31:$F$45,0)),"N/A")</f>
        <v>N/A</v>
      </c>
      <c r="M10" s="16" t="str">
        <f aca="false">IFERROR(INDEX('Reference Data'!$E$31:$E$45,MATCH($C10&amp;"|"&amp;$H10,'Reference Data'!$F$31:$F$45,0)),"N/A")</f>
        <v>N/A</v>
      </c>
      <c r="N10" s="16" t="str">
        <f aca="false">IF(I10="Air",M10,IF(I10="Sea",L10,"N/A"))</f>
        <v>N/A</v>
      </c>
      <c r="O10" s="17" t="str">
        <f aca="false">IF(ISNUMBER(SEARCH("delayed",G10)),"High Risk",IF(ISNUMBER(SEARCH("Unconfirmed",G10)),"High Risk",IF(ISNUMBER(SEARCH("Completed",G10)),"Medium Risk",IF(ISNUMBER(SEARCH("on track",G10)),"Low Risk","Review"))))</f>
        <v>High Risk</v>
      </c>
      <c r="P10" s="17" t="str">
        <f aca="false">IF(H10="UK","Yes","No")</f>
        <v>No</v>
      </c>
    </row>
    <row r="11" customFormat="false" ht="15" hidden="false" customHeight="false" outlineLevel="0" collapsed="false">
      <c r="A11" s="12" t="s">
        <v>72</v>
      </c>
      <c r="B11" s="12" t="s">
        <v>73</v>
      </c>
      <c r="C11" s="9" t="str">
        <f aca="false">IFERROR(INDEX('Reference Data'!$B$22:$B$27,MATCH(B11,'Reference Data'!$A$22:$A$27,0)),"N/A")</f>
        <v>Ho Chi Minh City</v>
      </c>
      <c r="D11" s="12" t="s">
        <v>74</v>
      </c>
      <c r="E11" s="9" t="str">
        <f aca="false">IFERROR(INDEX('Reference Data'!$B$10:$B$18,MATCH(D11,'Reference Data'!$A$10:$A$18,0)),"N/A")</f>
        <v>Bath Crystals 400g</v>
      </c>
      <c r="F11" s="13" t="n">
        <v>500</v>
      </c>
      <c r="G11" s="12" t="s">
        <v>49</v>
      </c>
      <c r="H11" s="14" t="s">
        <v>55</v>
      </c>
      <c r="I11" s="14" t="s">
        <v>51</v>
      </c>
      <c r="J11" s="12" t="s">
        <v>75</v>
      </c>
      <c r="K11" s="15" t="n">
        <v>6</v>
      </c>
      <c r="L11" s="16" t="n">
        <f aca="false">IFERROR(INDEX('Reference Data'!$C$31:$C$45,MATCH($C11&amp;"|"&amp;$H11,'Reference Data'!$F$31:$F$45,0)),"N/A")</f>
        <v>3.5</v>
      </c>
      <c r="M11" s="16" t="n">
        <f aca="false">IFERROR(INDEX('Reference Data'!$E$31:$E$45,MATCH($C11&amp;"|"&amp;$H11,'Reference Data'!$F$31:$F$45,0)),"N/A")</f>
        <v>0.714285714285714</v>
      </c>
      <c r="N11" s="16" t="n">
        <f aca="false">IF(I11="Air",M11,IF(I11="Sea",L11,"N/A"))</f>
        <v>3.5</v>
      </c>
      <c r="O11" s="17" t="str">
        <f aca="false">IF(ISNUMBER(SEARCH("delayed",G11)),"High Risk",IF(ISNUMBER(SEARCH("Unconfirmed",G11)),"High Risk",IF(ISNUMBER(SEARCH("Completed",G11)),"Medium Risk",IF(ISNUMBER(SEARCH("on track",G11)),"Low Risk","Review"))))</f>
        <v>Low Risk</v>
      </c>
      <c r="P11" s="17" t="str">
        <f aca="false">IF(H11="UK","Yes","No")</f>
        <v>No</v>
      </c>
    </row>
    <row r="12" customFormat="false" ht="15" hidden="false" customHeight="false" outlineLevel="0" collapsed="false">
      <c r="A12" s="18" t="s">
        <v>76</v>
      </c>
      <c r="B12" s="19"/>
      <c r="C12" s="19"/>
      <c r="D12" s="19"/>
      <c r="E12" s="19"/>
      <c r="F12" s="20" t="n">
        <f aca="false">SUM(F6:F11)</f>
        <v>3000</v>
      </c>
      <c r="G12" s="19"/>
      <c r="H12" s="19"/>
      <c r="I12" s="19"/>
      <c r="J12" s="19"/>
      <c r="K12" s="19"/>
      <c r="L12" s="19"/>
      <c r="M12" s="19"/>
      <c r="N12" s="19"/>
      <c r="O12" s="19"/>
      <c r="P12" s="19"/>
    </row>
    <row r="14" customFormat="false" ht="15" hidden="false" customHeight="false" outlineLevel="0" collapsed="false">
      <c r="A14" s="21" t="s">
        <v>77</v>
      </c>
    </row>
    <row r="15" customFormat="false" ht="15" hidden="false" customHeight="true" outlineLevel="0" collapsed="false">
      <c r="A15" s="22" t="s">
        <v>78</v>
      </c>
      <c r="B15" s="22"/>
      <c r="C15" s="22"/>
      <c r="D15" s="22"/>
      <c r="E15" s="22"/>
      <c r="F15" s="22"/>
      <c r="G15" s="22"/>
      <c r="H15" s="22"/>
      <c r="I15" s="22"/>
      <c r="J15" s="22"/>
      <c r="K15" s="22"/>
      <c r="L15" s="22"/>
      <c r="M15" s="22"/>
      <c r="N15" s="22"/>
      <c r="O15" s="22"/>
      <c r="P15" s="22"/>
    </row>
    <row r="16" customFormat="false" ht="15" hidden="false" customHeight="true" outlineLevel="0" collapsed="false">
      <c r="A16" s="22" t="s">
        <v>79</v>
      </c>
      <c r="B16" s="22"/>
      <c r="C16" s="22"/>
      <c r="D16" s="22"/>
      <c r="E16" s="22"/>
      <c r="F16" s="22"/>
      <c r="G16" s="22"/>
      <c r="H16" s="22"/>
      <c r="I16" s="22"/>
      <c r="J16" s="22"/>
      <c r="K16" s="22"/>
      <c r="L16" s="22"/>
      <c r="M16" s="22"/>
      <c r="N16" s="22"/>
      <c r="O16" s="22"/>
      <c r="P16" s="22"/>
    </row>
    <row r="17" customFormat="false" ht="15" hidden="false" customHeight="true" outlineLevel="0" collapsed="false">
      <c r="A17" s="22" t="s">
        <v>80</v>
      </c>
      <c r="B17" s="22"/>
      <c r="C17" s="22"/>
      <c r="D17" s="22"/>
      <c r="E17" s="22"/>
      <c r="F17" s="22"/>
      <c r="G17" s="22"/>
      <c r="H17" s="22"/>
      <c r="I17" s="22"/>
      <c r="J17" s="22"/>
      <c r="K17" s="22"/>
      <c r="L17" s="22"/>
      <c r="M17" s="22"/>
      <c r="N17" s="22"/>
      <c r="O17" s="22"/>
      <c r="P17" s="22"/>
    </row>
    <row r="18" customFormat="false" ht="15" hidden="false" customHeight="true" outlineLevel="0" collapsed="false">
      <c r="A18" s="22" t="s">
        <v>81</v>
      </c>
      <c r="B18" s="22"/>
      <c r="C18" s="22"/>
      <c r="D18" s="22"/>
      <c r="E18" s="22"/>
      <c r="F18" s="22"/>
      <c r="G18" s="22"/>
      <c r="H18" s="22"/>
      <c r="I18" s="22"/>
      <c r="J18" s="22"/>
      <c r="K18" s="22"/>
      <c r="L18" s="22"/>
      <c r="M18" s="22"/>
      <c r="N18" s="22"/>
      <c r="O18" s="22"/>
      <c r="P18" s="22"/>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P6:P11">
    <cfRule type="cellIs" priority="5" operator="equal" aboveAverage="0" equalAverage="0" bottom="0" percent="0" rank="0" text="" dxfId="3">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82</v>
      </c>
      <c r="B1" s="1"/>
      <c r="C1" s="1"/>
      <c r="D1" s="1"/>
      <c r="E1" s="1"/>
      <c r="F1" s="1"/>
      <c r="G1" s="1"/>
      <c r="H1" s="1"/>
      <c r="I1" s="1"/>
      <c r="J1" s="1"/>
      <c r="K1" s="1"/>
      <c r="L1" s="1"/>
      <c r="M1" s="1"/>
      <c r="N1" s="1"/>
      <c r="O1" s="1"/>
    </row>
    <row r="3" customFormat="false" ht="15" hidden="false" customHeight="false" outlineLevel="0" collapsed="false">
      <c r="A3" s="21" t="s">
        <v>83</v>
      </c>
    </row>
    <row r="4" customFormat="false" ht="15" hidden="false" customHeight="false" outlineLevel="0" collapsed="false">
      <c r="A4" s="23" t="s">
        <v>84</v>
      </c>
      <c r="B4" s="24" t="n">
        <v>4</v>
      </c>
    </row>
    <row r="5" customFormat="false" ht="15" hidden="false" customHeight="false" outlineLevel="0" collapsed="false">
      <c r="A5" s="23" t="s">
        <v>85</v>
      </c>
      <c r="B5" s="24" t="n">
        <v>8</v>
      </c>
      <c r="C5" s="25" t="s">
        <v>86</v>
      </c>
    </row>
    <row r="7" customFormat="false" ht="30" hidden="false" customHeight="true" outlineLevel="0" collapsed="false">
      <c r="A7" s="8" t="s">
        <v>33</v>
      </c>
      <c r="B7" s="8" t="s">
        <v>34</v>
      </c>
      <c r="C7" s="8" t="s">
        <v>87</v>
      </c>
      <c r="D7" s="8" t="s">
        <v>88</v>
      </c>
      <c r="E7" s="8" t="s">
        <v>89</v>
      </c>
      <c r="F7" s="8" t="s">
        <v>90</v>
      </c>
      <c r="G7" s="8" t="s">
        <v>91</v>
      </c>
      <c r="H7" s="8" t="s">
        <v>92</v>
      </c>
      <c r="I7" s="8" t="s">
        <v>93</v>
      </c>
      <c r="J7" s="8" t="s">
        <v>94</v>
      </c>
      <c r="K7" s="8" t="s">
        <v>95</v>
      </c>
      <c r="L7" s="8" t="s">
        <v>96</v>
      </c>
      <c r="M7" s="8" t="s">
        <v>97</v>
      </c>
      <c r="N7" s="8" t="s">
        <v>98</v>
      </c>
      <c r="O7" s="8" t="s">
        <v>99</v>
      </c>
    </row>
    <row r="8" customFormat="false" ht="15" hidden="false" customHeight="false" outlineLevel="0" collapsed="false">
      <c r="A8" s="12" t="s">
        <v>48</v>
      </c>
      <c r="B8" s="9" t="str">
        <f aca="false">IFERROR(INDEX('Reference Data'!$B$10:$B$18,MATCH($A8,'Reference Data'!$A$10:$A$18,0)),"N/A")</f>
        <v>Recovery Balm 300ml</v>
      </c>
      <c r="C8" s="9" t="str">
        <f aca="false">IFERROR(INDEX('Reference Data'!$C$10:$C$18,MATCH($A8,'Reference Data'!$A$10:$A$18,0)),"N/A")</f>
        <v>Body Care</v>
      </c>
      <c r="D8" s="9" t="str">
        <f aca="false">IFERROR(INDEX('Reference Data'!$D$10:$D$18,MATCH($A8,'Reference Data'!$A$10:$A$18,0)),"N/A")</f>
        <v>Factory A</v>
      </c>
      <c r="E8" s="13" t="n">
        <v>220</v>
      </c>
      <c r="F8" s="13" t="n">
        <v>35</v>
      </c>
      <c r="G8" s="13" t="n">
        <v>110</v>
      </c>
      <c r="H8" s="26" t="n">
        <f aca="false">SUM(E8:G8)</f>
        <v>365</v>
      </c>
      <c r="I8" s="13" t="n">
        <v>75</v>
      </c>
      <c r="J8" s="27" t="n">
        <f aca="false">IFERROR(H8/I8,"N/A")</f>
        <v>4.86666666666667</v>
      </c>
      <c r="K8" s="17" t="str">
        <f aca="false">IF(J8&lt;$B$4,"High Risk",IF(J8&lt;$B$5,"Medium Risk","Low Risk"))</f>
        <v>Medium Risk</v>
      </c>
      <c r="L8" s="27" t="n">
        <f aca="false">IFERROR(F8/I8,"N/A")</f>
        <v>0.466666666666667</v>
      </c>
      <c r="M8" s="17" t="str">
        <f aca="false">IF(L8&lt;$B$4,"High Risk",IF(L8&lt;$B$5,"Medium Risk","Low Risk"))</f>
        <v>High Risk</v>
      </c>
      <c r="N8" s="26" t="n">
        <f aca="false">SUMIF('Purchase Orders'!$D$6:$D$11,$A8,'Purchase Orders'!$F$6:$F$11)</f>
        <v>500</v>
      </c>
      <c r="O8" s="26" t="n">
        <f aca="false">SUMIFS('Purchase Orders'!$F$6:$F$11,'Purchase Orders'!$D$6:$D$11,$A8,'Purchase Orders'!$H$6:$H$11,"UK")</f>
        <v>0</v>
      </c>
    </row>
    <row r="9" customFormat="false" ht="15" hidden="false" customHeight="false" outlineLevel="0" collapsed="false">
      <c r="A9" s="12" t="s">
        <v>100</v>
      </c>
      <c r="B9" s="9" t="str">
        <f aca="false">IFERROR(INDEX('Reference Data'!$B$10:$B$18,MATCH($A9,'Reference Data'!$A$10:$A$18,0)),"N/A")</f>
        <v>Face Serum 50ml</v>
      </c>
      <c r="C9" s="9" t="str">
        <f aca="false">IFERROR(INDEX('Reference Data'!$C$10:$C$18,MATCH($A9,'Reference Data'!$A$10:$A$18,0)),"N/A")</f>
        <v>Skincare</v>
      </c>
      <c r="D9" s="9" t="str">
        <f aca="false">IFERROR(INDEX('Reference Data'!$D$10:$D$18,MATCH($A9,'Reference Data'!$A$10:$A$18,0)),"N/A")</f>
        <v>Factory A</v>
      </c>
      <c r="E9" s="13" t="n">
        <v>150</v>
      </c>
      <c r="F9" s="13" t="n">
        <v>20</v>
      </c>
      <c r="G9" s="13" t="n">
        <v>75</v>
      </c>
      <c r="H9" s="26" t="n">
        <f aca="false">SUM(E9:G9)</f>
        <v>245</v>
      </c>
      <c r="I9" s="13" t="n">
        <v>45</v>
      </c>
      <c r="J9" s="27" t="n">
        <f aca="false">IFERROR(H9/I9,"N/A")</f>
        <v>5.44444444444445</v>
      </c>
      <c r="K9" s="17" t="str">
        <f aca="false">IF(J9&lt;$B$4,"High Risk",IF(J9&lt;$B$5,"Medium Risk","Low Risk"))</f>
        <v>Medium Risk</v>
      </c>
      <c r="L9" s="27" t="n">
        <f aca="false">IFERROR(F9/I9,"N/A")</f>
        <v>0.444444444444444</v>
      </c>
      <c r="M9" s="17" t="str">
        <f aca="false">IF(L9&lt;$B$4,"High Risk",IF(L9&lt;$B$5,"Medium Risk","Low Risk"))</f>
        <v>High Risk</v>
      </c>
      <c r="N9" s="26" t="n">
        <f aca="false">SUMIF('Purchase Orders'!$D$6:$D$11,$A9,'Purchase Orders'!$F$6:$F$11)</f>
        <v>0</v>
      </c>
      <c r="O9" s="26" t="n">
        <f aca="false">SUMIFS('Purchase Orders'!$F$6:$F$11,'Purchase Orders'!$D$6:$D$11,$A9,'Purchase Orders'!$H$6:$H$11,"UK")</f>
        <v>0</v>
      </c>
    </row>
    <row r="10" customFormat="false" ht="15" hidden="false" customHeight="false" outlineLevel="0" collapsed="false">
      <c r="A10" s="12" t="s">
        <v>101</v>
      </c>
      <c r="B10" s="9" t="str">
        <f aca="false">IFERROR(INDEX('Reference Data'!$B$10:$B$18,MATCH($A10,'Reference Data'!$A$10:$A$18,0)),"N/A")</f>
        <v>Body Wash 200ml</v>
      </c>
      <c r="C10" s="9" t="str">
        <f aca="false">IFERROR(INDEX('Reference Data'!$C$10:$C$18,MATCH($A10,'Reference Data'!$A$10:$A$18,0)),"N/A")</f>
        <v>Body Care</v>
      </c>
      <c r="D10" s="9" t="str">
        <f aca="false">IFERROR(INDEX('Reference Data'!$D$10:$D$18,MATCH($A10,'Reference Data'!$A$10:$A$18,0)),"N/A")</f>
        <v>Factory B</v>
      </c>
      <c r="E10" s="13" t="n">
        <v>180</v>
      </c>
      <c r="F10" s="13" t="n">
        <v>50</v>
      </c>
      <c r="G10" s="13" t="n">
        <v>60</v>
      </c>
      <c r="H10" s="26" t="n">
        <f aca="false">SUM(E10:G10)</f>
        <v>290</v>
      </c>
      <c r="I10" s="13" t="n">
        <v>55</v>
      </c>
      <c r="J10" s="27" t="n">
        <f aca="false">IFERROR(H10/I10,"N/A")</f>
        <v>5.27272727272727</v>
      </c>
      <c r="K10" s="17" t="str">
        <f aca="false">IF(J10&lt;$B$4,"High Risk",IF(J10&lt;$B$5,"Medium Risk","Low Risk"))</f>
        <v>Medium Risk</v>
      </c>
      <c r="L10" s="27" t="n">
        <f aca="false">IFERROR(F10/I10,"N/A")</f>
        <v>0.909090909090909</v>
      </c>
      <c r="M10" s="17" t="str">
        <f aca="false">IF(L10&lt;$B$4,"High Risk",IF(L10&lt;$B$5,"Medium Risk","Low Risk"))</f>
        <v>High Risk</v>
      </c>
      <c r="N10" s="26" t="n">
        <f aca="false">SUMIF('Purchase Orders'!$D$6:$D$11,$A10,'Purchase Orders'!$F$6:$F$11)</f>
        <v>0</v>
      </c>
      <c r="O10" s="26" t="n">
        <f aca="false">SUMIFS('Purchase Orders'!$F$6:$F$11,'Purchase Orders'!$D$6:$D$11,$A10,'Purchase Orders'!$H$6:$H$11,"UK")</f>
        <v>0</v>
      </c>
    </row>
    <row r="11" customFormat="false" ht="15" hidden="false" customHeight="false" outlineLevel="0" collapsed="false">
      <c r="A11" s="12" t="s">
        <v>59</v>
      </c>
      <c r="B11" s="9" t="str">
        <f aca="false">IFERROR(INDEX('Reference Data'!$B$10:$B$18,MATCH($A11,'Reference Data'!$A$10:$A$18,0)),"N/A")</f>
        <v>Hair Mask 100ml</v>
      </c>
      <c r="C11" s="9" t="str">
        <f aca="false">IFERROR(INDEX('Reference Data'!$C$10:$C$18,MATCH($A11,'Reference Data'!$A$10:$A$18,0)),"N/A")</f>
        <v>Hair Care</v>
      </c>
      <c r="D11" s="9" t="str">
        <f aca="false">IFERROR(INDEX('Reference Data'!$D$10:$D$18,MATCH($A11,'Reference Data'!$A$10:$A$18,0)),"N/A")</f>
        <v>Factory C</v>
      </c>
      <c r="E11" s="13" t="n">
        <v>90</v>
      </c>
      <c r="F11" s="13" t="n">
        <v>25</v>
      </c>
      <c r="G11" s="13" t="n">
        <v>45</v>
      </c>
      <c r="H11" s="26" t="n">
        <f aca="false">SUM(E11:G11)</f>
        <v>160</v>
      </c>
      <c r="I11" s="13" t="n">
        <v>30</v>
      </c>
      <c r="J11" s="27" t="n">
        <f aca="false">IFERROR(H11/I11,"N/A")</f>
        <v>5.33333333333333</v>
      </c>
      <c r="K11" s="17" t="str">
        <f aca="false">IF(J11&lt;$B$4,"High Risk",IF(J11&lt;$B$5,"Medium Risk","Low Risk"))</f>
        <v>Medium Risk</v>
      </c>
      <c r="L11" s="27" t="n">
        <f aca="false">IFERROR(F11/I11,"N/A")</f>
        <v>0.833333333333333</v>
      </c>
      <c r="M11" s="17" t="str">
        <f aca="false">IF(L11&lt;$B$4,"High Risk",IF(L11&lt;$B$5,"Medium Risk","Low Risk"))</f>
        <v>High Risk</v>
      </c>
      <c r="N11" s="26" t="n">
        <f aca="false">SUMIF('Purchase Orders'!$D$6:$D$11,$A11,'Purchase Orders'!$F$6:$F$11)</f>
        <v>300</v>
      </c>
      <c r="O11" s="26" t="n">
        <f aca="false">SUMIFS('Purchase Orders'!$F$6:$F$11,'Purchase Orders'!$D$6:$D$11,$A11,'Purchase Orders'!$H$6:$H$11,"UK")</f>
        <v>0</v>
      </c>
    </row>
    <row r="12" customFormat="false" ht="15" hidden="false" customHeight="false" outlineLevel="0" collapsed="false">
      <c r="A12" s="12" t="s">
        <v>65</v>
      </c>
      <c r="B12" s="9" t="str">
        <f aca="false">IFERROR(INDEX('Reference Data'!$B$10:$B$18,MATCH($A12,'Reference Data'!$A$10:$A$18,0)),"N/A")</f>
        <v>Lip Balm 3-Pack</v>
      </c>
      <c r="C12" s="9" t="str">
        <f aca="false">IFERROR(INDEX('Reference Data'!$C$10:$C$18,MATCH($A12,'Reference Data'!$A$10:$A$18,0)),"N/A")</f>
        <v>Skincare</v>
      </c>
      <c r="D12" s="9" t="str">
        <f aca="false">IFERROR(INDEX('Reference Data'!$D$10:$D$18,MATCH($A12,'Reference Data'!$A$10:$A$18,0)),"N/A")</f>
        <v>Factory D</v>
      </c>
      <c r="E12" s="13" t="n">
        <v>300</v>
      </c>
      <c r="F12" s="13" t="n">
        <v>40</v>
      </c>
      <c r="G12" s="13" t="n">
        <v>80</v>
      </c>
      <c r="H12" s="26" t="n">
        <f aca="false">SUM(E12:G12)</f>
        <v>420</v>
      </c>
      <c r="I12" s="13" t="n">
        <v>60</v>
      </c>
      <c r="J12" s="27" t="n">
        <f aca="false">IFERROR(H12/I12,"N/A")</f>
        <v>7</v>
      </c>
      <c r="K12" s="17" t="str">
        <f aca="false">IF(J12&lt;$B$4,"High Risk",IF(J12&lt;$B$5,"Medium Risk","Low Risk"))</f>
        <v>Medium Risk</v>
      </c>
      <c r="L12" s="27" t="n">
        <f aca="false">IFERROR(F12/I12,"N/A")</f>
        <v>0.666666666666667</v>
      </c>
      <c r="M12" s="17" t="str">
        <f aca="false">IF(L12&lt;$B$4,"High Risk",IF(L12&lt;$B$5,"Medium Risk","Low Risk"))</f>
        <v>High Risk</v>
      </c>
      <c r="N12" s="26" t="n">
        <f aca="false">SUMIF('Purchase Orders'!$D$6:$D$11,$A12,'Purchase Orders'!$F$6:$F$11)</f>
        <v>1000</v>
      </c>
      <c r="O12" s="26" t="n">
        <f aca="false">SUMIFS('Purchase Orders'!$F$6:$F$11,'Purchase Orders'!$D$6:$D$11,$A12,'Purchase Orders'!$H$6:$H$11,"UK")</f>
        <v>0</v>
      </c>
    </row>
    <row r="13" customFormat="false" ht="15" hidden="false" customHeight="false" outlineLevel="0" collapsed="false">
      <c r="A13" s="12" t="s">
        <v>102</v>
      </c>
      <c r="B13" s="9" t="str">
        <f aca="false">IFERROR(INDEX('Reference Data'!$B$10:$B$18,MATCH($A13,'Reference Data'!$A$10:$A$18,0)),"N/A")</f>
        <v>Scalp Mist 150ml</v>
      </c>
      <c r="C13" s="9" t="str">
        <f aca="false">IFERROR(INDEX('Reference Data'!$C$10:$C$18,MATCH($A13,'Reference Data'!$A$10:$A$18,0)),"N/A")</f>
        <v>Hair Care</v>
      </c>
      <c r="D13" s="9" t="str">
        <f aca="false">IFERROR(INDEX('Reference Data'!$D$10:$D$18,MATCH($A13,'Reference Data'!$A$10:$A$18,0)),"N/A")</f>
        <v>Factory C</v>
      </c>
      <c r="E13" s="13" t="n">
        <v>70</v>
      </c>
      <c r="F13" s="13" t="n">
        <v>10</v>
      </c>
      <c r="G13" s="13" t="n">
        <v>30</v>
      </c>
      <c r="H13" s="26" t="n">
        <f aca="false">SUM(E13:G13)</f>
        <v>110</v>
      </c>
      <c r="I13" s="13" t="n">
        <v>20</v>
      </c>
      <c r="J13" s="27" t="n">
        <f aca="false">IFERROR(H13/I13,"N/A")</f>
        <v>5.5</v>
      </c>
      <c r="K13" s="17" t="str">
        <f aca="false">IF(J13&lt;$B$4,"High Risk",IF(J13&lt;$B$5,"Medium Risk","Low Risk"))</f>
        <v>Medium Risk</v>
      </c>
      <c r="L13" s="27" t="n">
        <f aca="false">IFERROR(F13/I13,"N/A")</f>
        <v>0.5</v>
      </c>
      <c r="M13" s="17" t="str">
        <f aca="false">IF(L13&lt;$B$4,"High Risk",IF(L13&lt;$B$5,"Medium Risk","Low Risk"))</f>
        <v>High Risk</v>
      </c>
      <c r="N13" s="26" t="n">
        <f aca="false">SUMIF('Purchase Orders'!$D$6:$D$11,$A13,'Purchase Orders'!$F$6:$F$11)</f>
        <v>0</v>
      </c>
      <c r="O13" s="26" t="n">
        <f aca="false">SUMIFS('Purchase Orders'!$F$6:$F$11,'Purchase Orders'!$D$6:$D$11,$A13,'Purchase Orders'!$H$6:$H$11,"UK")</f>
        <v>0</v>
      </c>
    </row>
    <row r="14" customFormat="false" ht="15" hidden="false" customHeight="false" outlineLevel="0" collapsed="false">
      <c r="A14" s="12" t="s">
        <v>70</v>
      </c>
      <c r="B14" s="9" t="str">
        <f aca="false">IFERROR(INDEX('Reference Data'!$B$10:$B$18,MATCH($A14,'Reference Data'!$A$10:$A$18,0)),"N/A")</f>
        <v>Essential Oil Blend 30ml</v>
      </c>
      <c r="C14" s="9" t="str">
        <f aca="false">IFERROR(INDEX('Reference Data'!$C$10:$C$18,MATCH($A14,'Reference Data'!$A$10:$A$18,0)),"N/A")</f>
        <v>Wellness</v>
      </c>
      <c r="D14" s="9" t="str">
        <f aca="false">IFERROR(INDEX('Reference Data'!$D$10:$D$18,MATCH($A14,'Reference Data'!$A$10:$A$18,0)),"N/A")</f>
        <v>Factory E</v>
      </c>
      <c r="E14" s="13" t="n">
        <v>45</v>
      </c>
      <c r="F14" s="13" t="n">
        <v>8</v>
      </c>
      <c r="G14" s="13" t="n">
        <v>20</v>
      </c>
      <c r="H14" s="26" t="n">
        <f aca="false">SUM(E14:G14)</f>
        <v>73</v>
      </c>
      <c r="I14" s="13" t="n">
        <v>15</v>
      </c>
      <c r="J14" s="27" t="n">
        <f aca="false">IFERROR(H14/I14,"N/A")</f>
        <v>4.86666666666667</v>
      </c>
      <c r="K14" s="17" t="str">
        <f aca="false">IF(J14&lt;$B$4,"High Risk",IF(J14&lt;$B$5,"Medium Risk","Low Risk"))</f>
        <v>Medium Risk</v>
      </c>
      <c r="L14" s="27" t="n">
        <f aca="false">IFERROR(F14/I14,"N/A")</f>
        <v>0.533333333333333</v>
      </c>
      <c r="M14" s="17" t="str">
        <f aca="false">IF(L14&lt;$B$4,"High Risk",IF(L14&lt;$B$5,"Medium Risk","Low Risk"))</f>
        <v>High Risk</v>
      </c>
      <c r="N14" s="26" t="n">
        <f aca="false">SUMIF('Purchase Orders'!$D$6:$D$11,$A14,'Purchase Orders'!$F$6:$F$11)</f>
        <v>200</v>
      </c>
      <c r="O14" s="26" t="n">
        <f aca="false">SUMIFS('Purchase Orders'!$F$6:$F$11,'Purchase Orders'!$D$6:$D$11,$A14,'Purchase Orders'!$H$6:$H$11,"UK")</f>
        <v>0</v>
      </c>
    </row>
    <row r="15" customFormat="false" ht="15" hidden="false" customHeight="false" outlineLevel="0" collapsed="false">
      <c r="A15" s="12" t="s">
        <v>74</v>
      </c>
      <c r="B15" s="9" t="str">
        <f aca="false">IFERROR(INDEX('Reference Data'!$B$10:$B$18,MATCH($A15,'Reference Data'!$A$10:$A$18,0)),"N/A")</f>
        <v>Bath Crystals 400g</v>
      </c>
      <c r="C15" s="9" t="str">
        <f aca="false">IFERROR(INDEX('Reference Data'!$C$10:$C$18,MATCH($A15,'Reference Data'!$A$10:$A$18,0)),"N/A")</f>
        <v>Body Care</v>
      </c>
      <c r="D15" s="9" t="str">
        <f aca="false">IFERROR(INDEX('Reference Data'!$D$10:$D$18,MATCH($A15,'Reference Data'!$A$10:$A$18,0)),"N/A")</f>
        <v>Factory F</v>
      </c>
      <c r="E15" s="13" t="n">
        <v>60</v>
      </c>
      <c r="F15" s="13" t="n">
        <v>15</v>
      </c>
      <c r="G15" s="13" t="n">
        <v>25</v>
      </c>
      <c r="H15" s="26" t="n">
        <f aca="false">SUM(E15:G15)</f>
        <v>100</v>
      </c>
      <c r="I15" s="13" t="n">
        <v>25</v>
      </c>
      <c r="J15" s="27" t="n">
        <f aca="false">IFERROR(H15/I15,"N/A")</f>
        <v>4</v>
      </c>
      <c r="K15" s="17" t="str">
        <f aca="false">IF(J15&lt;$B$4,"High Risk",IF(J15&lt;$B$5,"Medium Risk","Low Risk"))</f>
        <v>Medium Risk</v>
      </c>
      <c r="L15" s="27" t="n">
        <f aca="false">IFERROR(F15/I15,"N/A")</f>
        <v>0.6</v>
      </c>
      <c r="M15" s="17" t="str">
        <f aca="false">IF(L15&lt;$B$4,"High Risk",IF(L15&lt;$B$5,"Medium Risk","Low Risk"))</f>
        <v>High Risk</v>
      </c>
      <c r="N15" s="26" t="n">
        <f aca="false">SUMIF('Purchase Orders'!$D$6:$D$11,$A15,'Purchase Orders'!$F$6:$F$11)</f>
        <v>500</v>
      </c>
      <c r="O15" s="26" t="n">
        <f aca="false">SUMIFS('Purchase Orders'!$F$6:$F$11,'Purchase Orders'!$D$6:$D$11,$A15,'Purchase Orders'!$H$6:$H$11,"UK")</f>
        <v>0</v>
      </c>
    </row>
    <row r="16" customFormat="false" ht="15" hidden="false" customHeight="false" outlineLevel="0" collapsed="false">
      <c r="A16" s="12" t="s">
        <v>54</v>
      </c>
      <c r="B16" s="9" t="str">
        <f aca="false">IFERROR(INDEX('Reference Data'!$B$10:$B$18,MATCH($A16,'Reference Data'!$A$10:$A$18,0)),"N/A")</f>
        <v>Night Cream 75ml</v>
      </c>
      <c r="C16" s="9" t="str">
        <f aca="false">IFERROR(INDEX('Reference Data'!$C$10:$C$18,MATCH($A16,'Reference Data'!$A$10:$A$18,0)),"N/A")</f>
        <v>Skincare</v>
      </c>
      <c r="D16" s="9" t="str">
        <f aca="false">IFERROR(INDEX('Reference Data'!$D$10:$D$18,MATCH($A16,'Reference Data'!$A$10:$A$18,0)),"N/A")</f>
        <v>Factory A</v>
      </c>
      <c r="E16" s="13" t="n">
        <v>130</v>
      </c>
      <c r="F16" s="13" t="n">
        <v>18</v>
      </c>
      <c r="G16" s="13" t="n">
        <v>55</v>
      </c>
      <c r="H16" s="26" t="n">
        <f aca="false">SUM(E16:G16)</f>
        <v>203</v>
      </c>
      <c r="I16" s="13" t="n">
        <v>40</v>
      </c>
      <c r="J16" s="27" t="n">
        <f aca="false">IFERROR(H16/I16,"N/A")</f>
        <v>5.075</v>
      </c>
      <c r="K16" s="17" t="str">
        <f aca="false">IF(J16&lt;$B$4,"High Risk",IF(J16&lt;$B$5,"Medium Risk","Low Risk"))</f>
        <v>Medium Risk</v>
      </c>
      <c r="L16" s="27" t="n">
        <f aca="false">IFERROR(F16/I16,"N/A")</f>
        <v>0.45</v>
      </c>
      <c r="M16" s="17" t="str">
        <f aca="false">IF(L16&lt;$B$4,"High Risk",IF(L16&lt;$B$5,"Medium Risk","Low Risk"))</f>
        <v>High Risk</v>
      </c>
      <c r="N16" s="26" t="n">
        <f aca="false">SUMIF('Purchase Orders'!$D$6:$D$11,$A16,'Purchase Orders'!$F$6:$F$11)</f>
        <v>500</v>
      </c>
      <c r="O16" s="26" t="n">
        <f aca="false">SUMIFS('Purchase Orders'!$F$6:$F$11,'Purchase Orders'!$D$6:$D$11,$A16,'Purchase Orders'!$H$6:$H$11,"UK")</f>
        <v>0</v>
      </c>
    </row>
    <row r="17" customFormat="false" ht="15" hidden="false" customHeight="false" outlineLevel="0" collapsed="false">
      <c r="A17" s="18" t="s">
        <v>76</v>
      </c>
      <c r="B17" s="19"/>
      <c r="C17" s="19"/>
      <c r="D17" s="19"/>
      <c r="E17" s="26" t="n">
        <f aca="false">SUM(E8:E16)</f>
        <v>1245</v>
      </c>
      <c r="F17" s="26" t="n">
        <f aca="false">SUM(F8:F16)</f>
        <v>221</v>
      </c>
      <c r="G17" s="26" t="n">
        <f aca="false">SUM(G8:G16)</f>
        <v>500</v>
      </c>
      <c r="H17" s="26" t="n">
        <f aca="false">SUM(H8:H16)</f>
        <v>1966</v>
      </c>
      <c r="I17" s="19"/>
      <c r="J17" s="19"/>
      <c r="K17" s="19"/>
      <c r="L17" s="19"/>
      <c r="M17" s="19"/>
      <c r="N17" s="26" t="n">
        <f aca="false">SUM(N8:N16)</f>
        <v>3000</v>
      </c>
      <c r="O17" s="26" t="n">
        <f aca="false">SUM(O8:O16)</f>
        <v>0</v>
      </c>
    </row>
    <row r="19" customFormat="false" ht="15" hidden="false" customHeight="false" outlineLevel="0" collapsed="false">
      <c r="A19" s="21" t="s">
        <v>77</v>
      </c>
    </row>
    <row r="20" customFormat="false" ht="15" hidden="false" customHeight="true" outlineLevel="0" collapsed="false">
      <c r="A20" s="22" t="s">
        <v>103</v>
      </c>
      <c r="B20" s="22"/>
      <c r="C20" s="22"/>
      <c r="D20" s="22"/>
      <c r="E20" s="22"/>
      <c r="F20" s="22"/>
      <c r="G20" s="22"/>
      <c r="H20" s="22"/>
      <c r="I20" s="22"/>
      <c r="J20" s="22"/>
      <c r="K20" s="22"/>
      <c r="L20" s="22"/>
      <c r="M20" s="22"/>
      <c r="N20" s="22"/>
      <c r="O20" s="22"/>
    </row>
    <row r="21" customFormat="false" ht="22.35" hidden="false" customHeight="true" outlineLevel="0" collapsed="false">
      <c r="A21" s="22" t="s">
        <v>104</v>
      </c>
      <c r="B21" s="22"/>
      <c r="C21" s="22"/>
      <c r="D21" s="22"/>
      <c r="E21" s="22"/>
      <c r="F21" s="22"/>
      <c r="G21" s="22"/>
      <c r="H21" s="22"/>
      <c r="I21" s="22"/>
      <c r="J21" s="22"/>
      <c r="K21" s="22"/>
      <c r="L21" s="22"/>
      <c r="M21" s="22"/>
      <c r="N21" s="22"/>
      <c r="O21" s="22"/>
    </row>
    <row r="22" customFormat="false" ht="15" hidden="false" customHeight="true" outlineLevel="0" collapsed="false">
      <c r="A22" s="22" t="s">
        <v>105</v>
      </c>
      <c r="B22" s="22"/>
      <c r="C22" s="22"/>
      <c r="D22" s="22"/>
      <c r="E22" s="22"/>
      <c r="F22" s="22"/>
      <c r="G22" s="22"/>
      <c r="H22" s="22"/>
      <c r="I22" s="22"/>
      <c r="J22" s="22"/>
      <c r="K22" s="22"/>
      <c r="L22" s="22"/>
      <c r="M22" s="22"/>
      <c r="N22" s="22"/>
      <c r="O22" s="22"/>
    </row>
    <row r="23" customFormat="false" ht="15" hidden="false" customHeight="true" outlineLevel="0" collapsed="false">
      <c r="A23" s="22" t="s">
        <v>106</v>
      </c>
      <c r="B23" s="22"/>
      <c r="C23" s="22"/>
      <c r="D23" s="22"/>
      <c r="E23" s="22"/>
      <c r="F23" s="22"/>
      <c r="G23" s="22"/>
      <c r="H23" s="22"/>
      <c r="I23" s="22"/>
      <c r="J23" s="22"/>
      <c r="K23" s="22"/>
      <c r="L23" s="22"/>
      <c r="M23" s="22"/>
      <c r="N23" s="22"/>
      <c r="O23" s="22"/>
    </row>
  </sheetData>
  <mergeCells count="5">
    <mergeCell ref="A1:O1"/>
    <mergeCell ref="A20:O20"/>
    <mergeCell ref="A21:O21"/>
    <mergeCell ref="A22:O22"/>
    <mergeCell ref="A23:O23"/>
  </mergeCells>
  <conditionalFormatting sqref="K8:K16">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M8:M16">
    <cfRule type="cellIs" priority="5" operator="equal" aboveAverage="0" equalAverage="0" bottom="0" percent="0" rank="0" text="" dxfId="0">
      <formula>"High Risk"</formula>
    </cfRule>
    <cfRule type="cellIs" priority="6" operator="equal" aboveAverage="0" equalAverage="0" bottom="0" percent="0" rank="0" text="" dxfId="2">
      <formula>"Medium Risk"</formula>
    </cfRule>
    <cfRule type="cellIs" priority="7" operator="equal" aboveAverage="0" equalAverage="0" bottom="0" percent="0" rank="0" text="" dxfId="1">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107</v>
      </c>
      <c r="B1" s="1"/>
      <c r="C1" s="1"/>
      <c r="D1" s="1"/>
      <c r="E1" s="1"/>
      <c r="F1" s="1"/>
      <c r="G1" s="1"/>
      <c r="H1" s="1"/>
    </row>
    <row r="3" customFormat="false" ht="18" hidden="false" customHeight="true" outlineLevel="0" collapsed="false">
      <c r="A3" s="3" t="s">
        <v>108</v>
      </c>
      <c r="B3" s="3"/>
      <c r="C3" s="3"/>
      <c r="D3" s="3"/>
      <c r="E3" s="3"/>
      <c r="F3" s="3"/>
      <c r="G3" s="3"/>
      <c r="H3" s="3"/>
    </row>
    <row r="4" customFormat="false" ht="30" hidden="false" customHeight="true" outlineLevel="0" collapsed="false">
      <c r="A4" s="8" t="s">
        <v>109</v>
      </c>
      <c r="B4" s="8" t="s">
        <v>110</v>
      </c>
      <c r="C4" s="8" t="s">
        <v>111</v>
      </c>
    </row>
    <row r="5" customFormat="false" ht="15" hidden="false" customHeight="false" outlineLevel="0" collapsed="false">
      <c r="A5" s="12" t="s">
        <v>55</v>
      </c>
      <c r="B5" s="12" t="s">
        <v>112</v>
      </c>
      <c r="C5" s="12" t="s">
        <v>113</v>
      </c>
    </row>
    <row r="6" customFormat="false" ht="15" hidden="false" customHeight="false" outlineLevel="0" collapsed="false">
      <c r="A6" s="12" t="s">
        <v>114</v>
      </c>
      <c r="B6" s="12" t="s">
        <v>114</v>
      </c>
      <c r="C6" s="12" t="s">
        <v>115</v>
      </c>
    </row>
    <row r="7" customFormat="false" ht="15" hidden="false" customHeight="false" outlineLevel="0" collapsed="false">
      <c r="A7" s="12" t="s">
        <v>50</v>
      </c>
      <c r="B7" s="12" t="s">
        <v>116</v>
      </c>
      <c r="C7" s="12" t="s">
        <v>117</v>
      </c>
    </row>
    <row r="8" customFormat="false" ht="18" hidden="false" customHeight="true" outlineLevel="0" collapsed="false">
      <c r="A8" s="3" t="s">
        <v>118</v>
      </c>
      <c r="B8" s="3"/>
      <c r="C8" s="3"/>
      <c r="D8" s="3"/>
      <c r="E8" s="3"/>
      <c r="F8" s="3"/>
      <c r="G8" s="3"/>
      <c r="H8" s="3"/>
    </row>
    <row r="9" customFormat="false" ht="30" hidden="false" customHeight="true" outlineLevel="0" collapsed="false">
      <c r="A9" s="8" t="s">
        <v>33</v>
      </c>
      <c r="B9" s="8" t="s">
        <v>34</v>
      </c>
      <c r="C9" s="8" t="s">
        <v>87</v>
      </c>
      <c r="D9" s="8" t="s">
        <v>119</v>
      </c>
    </row>
    <row r="10" customFormat="false" ht="15" hidden="false" customHeight="false" outlineLevel="0" collapsed="false">
      <c r="A10" s="12" t="s">
        <v>48</v>
      </c>
      <c r="B10" s="12" t="s">
        <v>120</v>
      </c>
      <c r="C10" s="12" t="s">
        <v>121</v>
      </c>
      <c r="D10" s="12" t="s">
        <v>47</v>
      </c>
    </row>
    <row r="11" customFormat="false" ht="15" hidden="false" customHeight="false" outlineLevel="0" collapsed="false">
      <c r="A11" s="12" t="s">
        <v>100</v>
      </c>
      <c r="B11" s="12" t="s">
        <v>122</v>
      </c>
      <c r="C11" s="12" t="s">
        <v>123</v>
      </c>
      <c r="D11" s="12" t="s">
        <v>47</v>
      </c>
    </row>
    <row r="12" customFormat="false" ht="15" hidden="false" customHeight="false" outlineLevel="0" collapsed="false">
      <c r="A12" s="12" t="s">
        <v>101</v>
      </c>
      <c r="B12" s="12" t="s">
        <v>124</v>
      </c>
      <c r="C12" s="12" t="s">
        <v>121</v>
      </c>
      <c r="D12" s="12" t="s">
        <v>125</v>
      </c>
    </row>
    <row r="13" customFormat="false" ht="15" hidden="false" customHeight="false" outlineLevel="0" collapsed="false">
      <c r="A13" s="12" t="s">
        <v>59</v>
      </c>
      <c r="B13" s="12" t="s">
        <v>126</v>
      </c>
      <c r="C13" s="12" t="s">
        <v>127</v>
      </c>
      <c r="D13" s="12" t="s">
        <v>58</v>
      </c>
    </row>
    <row r="14" customFormat="false" ht="15" hidden="false" customHeight="false" outlineLevel="0" collapsed="false">
      <c r="A14" s="12" t="s">
        <v>65</v>
      </c>
      <c r="B14" s="12" t="s">
        <v>128</v>
      </c>
      <c r="C14" s="12" t="s">
        <v>123</v>
      </c>
      <c r="D14" s="12" t="s">
        <v>64</v>
      </c>
    </row>
    <row r="15" customFormat="false" ht="15" hidden="false" customHeight="false" outlineLevel="0" collapsed="false">
      <c r="A15" s="12" t="s">
        <v>102</v>
      </c>
      <c r="B15" s="12" t="s">
        <v>129</v>
      </c>
      <c r="C15" s="12" t="s">
        <v>127</v>
      </c>
      <c r="D15" s="12" t="s">
        <v>58</v>
      </c>
    </row>
    <row r="16" customFormat="false" ht="15" hidden="false" customHeight="false" outlineLevel="0" collapsed="false">
      <c r="A16" s="12" t="s">
        <v>70</v>
      </c>
      <c r="B16" s="12" t="s">
        <v>130</v>
      </c>
      <c r="C16" s="12" t="s">
        <v>131</v>
      </c>
      <c r="D16" s="12" t="s">
        <v>69</v>
      </c>
    </row>
    <row r="17" customFormat="false" ht="15" hidden="false" customHeight="false" outlineLevel="0" collapsed="false">
      <c r="A17" s="12" t="s">
        <v>74</v>
      </c>
      <c r="B17" s="12" t="s">
        <v>132</v>
      </c>
      <c r="C17" s="12" t="s">
        <v>121</v>
      </c>
      <c r="D17" s="12" t="s">
        <v>73</v>
      </c>
    </row>
    <row r="18" customFormat="false" ht="15" hidden="false" customHeight="false" outlineLevel="0" collapsed="false">
      <c r="A18" s="12" t="s">
        <v>54</v>
      </c>
      <c r="B18" s="12" t="s">
        <v>133</v>
      </c>
      <c r="C18" s="12" t="s">
        <v>123</v>
      </c>
      <c r="D18" s="12" t="s">
        <v>47</v>
      </c>
    </row>
    <row r="20" customFormat="false" ht="18" hidden="false" customHeight="true" outlineLevel="0" collapsed="false">
      <c r="A20" s="3" t="s">
        <v>134</v>
      </c>
      <c r="B20" s="3"/>
      <c r="C20" s="3"/>
      <c r="D20" s="3"/>
      <c r="E20" s="3"/>
      <c r="F20" s="3"/>
      <c r="G20" s="3"/>
      <c r="H20" s="3"/>
    </row>
    <row r="21" customFormat="false" ht="30" hidden="false" customHeight="true" outlineLevel="0" collapsed="false">
      <c r="A21" s="8" t="s">
        <v>31</v>
      </c>
      <c r="B21" s="8" t="s">
        <v>111</v>
      </c>
      <c r="C21" s="8" t="s">
        <v>135</v>
      </c>
      <c r="D21" s="8" t="s">
        <v>136</v>
      </c>
      <c r="E21" s="8" t="s">
        <v>137</v>
      </c>
      <c r="F21" s="8" t="s">
        <v>138</v>
      </c>
      <c r="G21" s="8" t="s">
        <v>139</v>
      </c>
      <c r="H21" s="8" t="s">
        <v>36</v>
      </c>
    </row>
    <row r="22" customFormat="false" ht="15" hidden="false" customHeight="false" outlineLevel="0" collapsed="false">
      <c r="A22" s="12" t="s">
        <v>47</v>
      </c>
      <c r="B22" s="12" t="s">
        <v>140</v>
      </c>
      <c r="C22" s="12" t="s">
        <v>141</v>
      </c>
      <c r="D22" s="12" t="s">
        <v>142</v>
      </c>
      <c r="E22" s="12" t="s">
        <v>143</v>
      </c>
      <c r="F22" s="13" t="n">
        <v>500</v>
      </c>
      <c r="G22" s="28" t="n">
        <v>3</v>
      </c>
      <c r="H22" s="12" t="s">
        <v>144</v>
      </c>
    </row>
    <row r="23" customFormat="false" ht="15" hidden="false" customHeight="false" outlineLevel="0" collapsed="false">
      <c r="A23" s="12" t="s">
        <v>125</v>
      </c>
      <c r="B23" s="12" t="s">
        <v>145</v>
      </c>
      <c r="C23" s="12" t="s">
        <v>146</v>
      </c>
      <c r="D23" s="12" t="s">
        <v>101</v>
      </c>
      <c r="E23" s="12" t="s">
        <v>147</v>
      </c>
      <c r="F23" s="13" t="n">
        <v>400</v>
      </c>
      <c r="G23" s="28" t="n">
        <v>2.5</v>
      </c>
      <c r="H23" s="12" t="s">
        <v>148</v>
      </c>
    </row>
    <row r="24" customFormat="false" ht="15" hidden="false" customHeight="false" outlineLevel="0" collapsed="false">
      <c r="A24" s="12" t="s">
        <v>58</v>
      </c>
      <c r="B24" s="12" t="s">
        <v>149</v>
      </c>
      <c r="C24" s="12" t="s">
        <v>150</v>
      </c>
      <c r="D24" s="12" t="s">
        <v>151</v>
      </c>
      <c r="E24" s="12" t="s">
        <v>152</v>
      </c>
      <c r="F24" s="13" t="n">
        <v>300</v>
      </c>
      <c r="G24" s="28" t="n">
        <v>3</v>
      </c>
      <c r="H24" s="12" t="s">
        <v>153</v>
      </c>
    </row>
    <row r="25" customFormat="false" ht="15" hidden="false" customHeight="false" outlineLevel="0" collapsed="false">
      <c r="A25" s="12" t="s">
        <v>64</v>
      </c>
      <c r="B25" s="12" t="s">
        <v>154</v>
      </c>
      <c r="C25" s="12" t="s">
        <v>155</v>
      </c>
      <c r="D25" s="12" t="s">
        <v>65</v>
      </c>
      <c r="E25" s="12" t="s">
        <v>156</v>
      </c>
      <c r="F25" s="13" t="n">
        <v>1000</v>
      </c>
      <c r="G25" s="28" t="n">
        <v>2</v>
      </c>
      <c r="H25" s="12" t="s">
        <v>157</v>
      </c>
    </row>
    <row r="26" customFormat="false" ht="15" hidden="false" customHeight="false" outlineLevel="0" collapsed="false">
      <c r="A26" s="12" t="s">
        <v>69</v>
      </c>
      <c r="B26" s="12" t="s">
        <v>145</v>
      </c>
      <c r="C26" s="12" t="s">
        <v>146</v>
      </c>
      <c r="D26" s="12" t="s">
        <v>70</v>
      </c>
      <c r="E26" s="12" t="s">
        <v>158</v>
      </c>
      <c r="F26" s="13" t="n">
        <v>200</v>
      </c>
      <c r="G26" s="28" t="n">
        <v>2</v>
      </c>
      <c r="H26" s="12" t="s">
        <v>159</v>
      </c>
    </row>
    <row r="27" customFormat="false" ht="15" hidden="false" customHeight="false" outlineLevel="0" collapsed="false">
      <c r="A27" s="12" t="s">
        <v>73</v>
      </c>
      <c r="B27" s="12" t="s">
        <v>160</v>
      </c>
      <c r="C27" s="12" t="s">
        <v>161</v>
      </c>
      <c r="D27" s="12" t="s">
        <v>74</v>
      </c>
      <c r="E27" s="12" t="s">
        <v>162</v>
      </c>
      <c r="F27" s="13" t="n">
        <v>500</v>
      </c>
      <c r="G27" s="28" t="n">
        <v>4</v>
      </c>
      <c r="H27" s="12" t="s">
        <v>163</v>
      </c>
    </row>
    <row r="29" customFormat="false" ht="18" hidden="false" customHeight="true" outlineLevel="0" collapsed="false">
      <c r="A29" s="3" t="s">
        <v>164</v>
      </c>
      <c r="B29" s="3"/>
      <c r="C29" s="3"/>
      <c r="D29" s="3"/>
      <c r="E29" s="3"/>
      <c r="F29" s="3"/>
      <c r="G29" s="3"/>
      <c r="H29" s="3"/>
    </row>
    <row r="30" customFormat="false" ht="30" hidden="false" customHeight="true" outlineLevel="0" collapsed="false">
      <c r="A30" s="8" t="s">
        <v>165</v>
      </c>
      <c r="B30" s="8" t="s">
        <v>166</v>
      </c>
      <c r="C30" s="8" t="s">
        <v>167</v>
      </c>
      <c r="D30" s="8" t="s">
        <v>168</v>
      </c>
      <c r="E30" s="8" t="s">
        <v>169</v>
      </c>
      <c r="F30" s="8" t="s">
        <v>170</v>
      </c>
    </row>
    <row r="31" customFormat="false" ht="15" hidden="false" customHeight="false" outlineLevel="0" collapsed="false">
      <c r="A31" s="12" t="s">
        <v>140</v>
      </c>
      <c r="B31" s="12" t="s">
        <v>55</v>
      </c>
      <c r="C31" s="29" t="n">
        <v>3</v>
      </c>
      <c r="D31" s="30" t="n">
        <v>5</v>
      </c>
      <c r="E31" s="31" t="n">
        <f aca="false">D31/7</f>
        <v>0.714285714285714</v>
      </c>
      <c r="F31" s="9" t="str">
        <f aca="false">A31&amp;"|"&amp;B31</f>
        <v>Shenzhen|US</v>
      </c>
    </row>
    <row r="32" customFormat="false" ht="15" hidden="false" customHeight="false" outlineLevel="0" collapsed="false">
      <c r="A32" s="12" t="s">
        <v>140</v>
      </c>
      <c r="B32" s="12" t="s">
        <v>114</v>
      </c>
      <c r="C32" s="29" t="n">
        <v>5</v>
      </c>
      <c r="D32" s="30" t="n">
        <v>7</v>
      </c>
      <c r="E32" s="31" t="n">
        <f aca="false">D32/7</f>
        <v>1</v>
      </c>
      <c r="F32" s="9" t="str">
        <f aca="false">A32&amp;"|"&amp;B32</f>
        <v>Shenzhen|UK</v>
      </c>
    </row>
    <row r="33" customFormat="false" ht="15" hidden="false" customHeight="false" outlineLevel="0" collapsed="false">
      <c r="A33" s="12" t="s">
        <v>140</v>
      </c>
      <c r="B33" s="12" t="s">
        <v>50</v>
      </c>
      <c r="C33" s="29" t="n">
        <v>0.285714285714286</v>
      </c>
      <c r="D33" s="30" t="n">
        <v>1</v>
      </c>
      <c r="E33" s="31" t="n">
        <f aca="false">D33/7</f>
        <v>0.142857142857143</v>
      </c>
      <c r="F33" s="9" t="str">
        <f aca="false">A33&amp;"|"&amp;B33</f>
        <v>Shenzhen|HK</v>
      </c>
    </row>
    <row r="34" customFormat="false" ht="15" hidden="false" customHeight="false" outlineLevel="0" collapsed="false">
      <c r="A34" s="12" t="s">
        <v>145</v>
      </c>
      <c r="B34" s="12" t="s">
        <v>55</v>
      </c>
      <c r="C34" s="29" t="n">
        <v>4.5</v>
      </c>
      <c r="D34" s="30" t="n">
        <v>6</v>
      </c>
      <c r="E34" s="31" t="n">
        <f aca="false">D34/7</f>
        <v>0.857142857142857</v>
      </c>
      <c r="F34" s="9" t="str">
        <f aca="false">A34&amp;"|"&amp;B34</f>
        <v>Chiang Mai|US</v>
      </c>
    </row>
    <row r="35" customFormat="false" ht="15" hidden="false" customHeight="false" outlineLevel="0" collapsed="false">
      <c r="A35" s="12" t="s">
        <v>145</v>
      </c>
      <c r="B35" s="12" t="s">
        <v>114</v>
      </c>
      <c r="C35" s="29" t="n">
        <v>4.5</v>
      </c>
      <c r="D35" s="30" t="n">
        <v>7</v>
      </c>
      <c r="E35" s="31" t="n">
        <f aca="false">D35/7</f>
        <v>1</v>
      </c>
      <c r="F35" s="9" t="str">
        <f aca="false">A35&amp;"|"&amp;B35</f>
        <v>Chiang Mai|UK</v>
      </c>
    </row>
    <row r="36" customFormat="false" ht="15" hidden="false" customHeight="false" outlineLevel="0" collapsed="false">
      <c r="A36" s="12" t="s">
        <v>145</v>
      </c>
      <c r="B36" s="12" t="s">
        <v>50</v>
      </c>
      <c r="C36" s="29" t="n">
        <v>4</v>
      </c>
      <c r="D36" s="30" t="n">
        <v>2</v>
      </c>
      <c r="E36" s="31" t="n">
        <f aca="false">D36/7</f>
        <v>0.285714285714286</v>
      </c>
      <c r="F36" s="9" t="str">
        <f aca="false">A36&amp;"|"&amp;B36</f>
        <v>Chiang Mai|HK</v>
      </c>
    </row>
    <row r="37" customFormat="false" ht="15" hidden="false" customHeight="false" outlineLevel="0" collapsed="false">
      <c r="A37" s="12" t="s">
        <v>149</v>
      </c>
      <c r="B37" s="12" t="s">
        <v>55</v>
      </c>
      <c r="C37" s="29" t="n">
        <v>4</v>
      </c>
      <c r="D37" s="30" t="n">
        <v>6</v>
      </c>
      <c r="E37" s="31" t="n">
        <f aca="false">D37/7</f>
        <v>0.857142857142857</v>
      </c>
      <c r="F37" s="9" t="str">
        <f aca="false">A37&amp;"|"&amp;B37</f>
        <v>Jakarta|US</v>
      </c>
    </row>
    <row r="38" customFormat="false" ht="15" hidden="false" customHeight="false" outlineLevel="0" collapsed="false">
      <c r="A38" s="12" t="s">
        <v>149</v>
      </c>
      <c r="B38" s="12" t="s">
        <v>114</v>
      </c>
      <c r="C38" s="29" t="n">
        <v>5</v>
      </c>
      <c r="D38" s="30" t="n">
        <v>7</v>
      </c>
      <c r="E38" s="31" t="n">
        <f aca="false">D38/7</f>
        <v>1</v>
      </c>
      <c r="F38" s="9" t="str">
        <f aca="false">A38&amp;"|"&amp;B38</f>
        <v>Jakarta|UK</v>
      </c>
    </row>
    <row r="39" customFormat="false" ht="15" hidden="false" customHeight="false" outlineLevel="0" collapsed="false">
      <c r="A39" s="12" t="s">
        <v>149</v>
      </c>
      <c r="B39" s="12" t="s">
        <v>50</v>
      </c>
      <c r="C39" s="29" t="n">
        <v>4</v>
      </c>
      <c r="D39" s="30" t="n">
        <v>2</v>
      </c>
      <c r="E39" s="31" t="n">
        <f aca="false">D39/7</f>
        <v>0.285714285714286</v>
      </c>
      <c r="F39" s="9" t="str">
        <f aca="false">A39&amp;"|"&amp;B39</f>
        <v>Jakarta|HK</v>
      </c>
    </row>
    <row r="40" customFormat="false" ht="15" hidden="false" customHeight="false" outlineLevel="0" collapsed="false">
      <c r="A40" s="12" t="s">
        <v>154</v>
      </c>
      <c r="B40" s="12" t="s">
        <v>55</v>
      </c>
      <c r="C40" s="29" t="n">
        <v>3</v>
      </c>
      <c r="D40" s="30" t="n">
        <v>4</v>
      </c>
      <c r="E40" s="31" t="n">
        <f aca="false">D40/7</f>
        <v>0.571428571428571</v>
      </c>
      <c r="F40" s="9" t="str">
        <f aca="false">A40&amp;"|"&amp;B40</f>
        <v>Taipei|US</v>
      </c>
    </row>
    <row r="41" customFormat="false" ht="15" hidden="false" customHeight="false" outlineLevel="0" collapsed="false">
      <c r="A41" s="12" t="s">
        <v>154</v>
      </c>
      <c r="B41" s="12" t="s">
        <v>114</v>
      </c>
      <c r="C41" s="29" t="n">
        <v>5</v>
      </c>
      <c r="D41" s="30" t="n">
        <v>6</v>
      </c>
      <c r="E41" s="31" t="n">
        <f aca="false">D41/7</f>
        <v>0.857142857142857</v>
      </c>
      <c r="F41" s="9" t="str">
        <f aca="false">A41&amp;"|"&amp;B41</f>
        <v>Taipei|UK</v>
      </c>
    </row>
    <row r="42" customFormat="false" ht="15" hidden="false" customHeight="false" outlineLevel="0" collapsed="false">
      <c r="A42" s="12" t="s">
        <v>154</v>
      </c>
      <c r="B42" s="12" t="s">
        <v>50</v>
      </c>
      <c r="C42" s="29" t="n">
        <v>0.285714285714286</v>
      </c>
      <c r="D42" s="30" t="n">
        <v>1</v>
      </c>
      <c r="E42" s="31" t="n">
        <f aca="false">D42/7</f>
        <v>0.142857142857143</v>
      </c>
      <c r="F42" s="9" t="str">
        <f aca="false">A42&amp;"|"&amp;B42</f>
        <v>Taipei|HK</v>
      </c>
    </row>
    <row r="43" customFormat="false" ht="15" hidden="false" customHeight="false" outlineLevel="0" collapsed="false">
      <c r="A43" s="12" t="s">
        <v>160</v>
      </c>
      <c r="B43" s="12" t="s">
        <v>55</v>
      </c>
      <c r="C43" s="29" t="n">
        <v>3.5</v>
      </c>
      <c r="D43" s="30" t="n">
        <v>5</v>
      </c>
      <c r="E43" s="31" t="n">
        <f aca="false">D43/7</f>
        <v>0.714285714285714</v>
      </c>
      <c r="F43" s="9" t="str">
        <f aca="false">A43&amp;"|"&amp;B43</f>
        <v>Ho Chi Minh City|US</v>
      </c>
    </row>
    <row r="44" customFormat="false" ht="15" hidden="false" customHeight="false" outlineLevel="0" collapsed="false">
      <c r="A44" s="12" t="s">
        <v>160</v>
      </c>
      <c r="B44" s="12" t="s">
        <v>114</v>
      </c>
      <c r="C44" s="29" t="n">
        <v>5</v>
      </c>
      <c r="D44" s="30" t="n">
        <v>7</v>
      </c>
      <c r="E44" s="31" t="n">
        <f aca="false">D44/7</f>
        <v>1</v>
      </c>
      <c r="F44" s="9" t="str">
        <f aca="false">A44&amp;"|"&amp;B44</f>
        <v>Ho Chi Minh City|UK</v>
      </c>
    </row>
    <row r="45" customFormat="false" ht="15" hidden="false" customHeight="false" outlineLevel="0" collapsed="false">
      <c r="A45" s="12" t="s">
        <v>160</v>
      </c>
      <c r="B45" s="12" t="s">
        <v>50</v>
      </c>
      <c r="C45" s="29" t="n">
        <v>3</v>
      </c>
      <c r="D45" s="30" t="n">
        <v>1</v>
      </c>
      <c r="E45" s="31" t="n">
        <f aca="false">D45/7</f>
        <v>0.142857142857143</v>
      </c>
      <c r="F45" s="9" t="str">
        <f aca="false">A45&amp;"|"&amp;B45</f>
        <v>Ho Chi Minh City|HK</v>
      </c>
    </row>
    <row r="47" customFormat="false" ht="15" hidden="false" customHeight="false" outlineLevel="0" collapsed="false">
      <c r="A47" s="21" t="s">
        <v>77</v>
      </c>
    </row>
    <row r="48" customFormat="false" ht="15" hidden="false" customHeight="true" outlineLevel="0" collapsed="false">
      <c r="A48" s="22" t="s">
        <v>171</v>
      </c>
      <c r="B48" s="22"/>
      <c r="C48" s="22"/>
      <c r="D48" s="22"/>
      <c r="E48" s="22"/>
      <c r="F48" s="22"/>
      <c r="G48" s="22"/>
      <c r="H48" s="22"/>
    </row>
    <row r="49" customFormat="false" ht="15" hidden="false" customHeight="true" outlineLevel="0" collapsed="false">
      <c r="A49" s="22" t="s">
        <v>172</v>
      </c>
      <c r="B49" s="22"/>
      <c r="C49" s="22"/>
      <c r="D49" s="22"/>
      <c r="E49" s="22"/>
      <c r="F49" s="22"/>
      <c r="G49" s="22"/>
      <c r="H49" s="22"/>
    </row>
    <row r="50" customFormat="false" ht="15" hidden="false" customHeight="true" outlineLevel="0" collapsed="false">
      <c r="A50" s="22" t="s">
        <v>173</v>
      </c>
      <c r="B50" s="22"/>
      <c r="C50" s="22"/>
      <c r="D50" s="22"/>
      <c r="E50" s="22"/>
      <c r="F50" s="22"/>
      <c r="G50" s="22"/>
      <c r="H50" s="22"/>
    </row>
    <row r="51" customFormat="false" ht="15" hidden="false" customHeight="true" outlineLevel="0" collapsed="false">
      <c r="A51" s="22" t="s">
        <v>174</v>
      </c>
      <c r="B51" s="22"/>
      <c r="C51" s="22"/>
      <c r="D51" s="22"/>
      <c r="E51" s="22"/>
      <c r="F51" s="22"/>
      <c r="G51" s="22"/>
      <c r="H51" s="22"/>
    </row>
    <row r="52" customFormat="false" ht="15" hidden="false" customHeight="true" outlineLevel="0" collapsed="false">
      <c r="A52" s="22" t="s">
        <v>175</v>
      </c>
      <c r="B52" s="22"/>
      <c r="C52" s="22"/>
      <c r="D52" s="22"/>
      <c r="E52" s="22"/>
      <c r="F52" s="22"/>
      <c r="G52" s="22"/>
      <c r="H52" s="22"/>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2026-08-10T03:40:16Z</dcterms:created>
  <dc:creator>openpyxl</dc:creator>
  <dc:description/>
  <dc:language>en-US</dc:language>
  <cp:lastModifiedBy/>
  <dcterms:modified xsi:type="dcterms:W3CDTF">2026-08-10T03:40:16Z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