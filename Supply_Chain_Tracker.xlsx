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Purchase Orders" sheetId="2" state="visible" r:id="rId4"/>
    <sheet name="Inventory &amp; Coverage" sheetId="3" state="visible" r:id="rId5"/>
    <sheet name="Reference Data"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<sst xmlns="http://schemas.openxmlformats.org/spreadsheetml/2006/main" count="278" uniqueCount="175">
  <si>
    <t xml:space="preserve">Supply Chain Tracker — Dashboard</t>
  </si>
  <si>
    <t xml:space="preserve">All figures below are calculated live from the Purchase Orders and Inventory &amp; Coverage sheets.</t>
  </si>
  <si>
    <t xml:space="preserve">Key Metrics</t>
  </si>
  <si>
    <t xml:space="preserve">Total Open POs</t>
  </si>
  <si>
    <t xml:space="preserve">Total SKUs Tracked</t>
  </si>
  <si>
    <t xml:space="preserve">POs — High Risk</t>
  </si>
  <si>
    <t xml:space="preserve">SKUs — High Stockout Risk (Total)</t>
  </si>
  <si>
    <t xml:space="preserve">POs — Medium Risk</t>
  </si>
  <si>
    <t xml:space="preserve">SKUs — Medium Stockout Risk (Total)</t>
  </si>
  <si>
    <t xml:space="preserve">POs — Low Risk</t>
  </si>
  <si>
    <t xml:space="preserve">SKUs — High Stockout Risk (UK)</t>
  </si>
  <si>
    <t xml:space="preserve">Total Units on Order</t>
  </si>
  <si>
    <t xml:space="preserve">Total On-Hand Inventory (All Whses)</t>
  </si>
  <si>
    <t xml:space="preserve">Open POs Shipping to UK</t>
  </si>
  <si>
    <t xml:space="preserve">Total UK On-Hand Inventory</t>
  </si>
  <si>
    <t xml:space="preserve">Any Open PO Shipping to UK?</t>
  </si>
  <si>
    <t xml:space="preserve">UK High-Risk SKUs w/ Zero Incoming UK PO</t>
  </si>
  <si>
    <t xml:space="preserve">PO Risk Breakdown</t>
  </si>
  <si>
    <t xml:space="preserve">SKU Stockout Risk Breakdown</t>
  </si>
  <si>
    <t xml:space="preserve">Risk Level</t>
  </si>
  <si>
    <t xml:space="preserve">Count</t>
  </si>
  <si>
    <t xml:space="preserve">Total Basis</t>
  </si>
  <si>
    <t xml:space="preserve">UK Basis</t>
  </si>
  <si>
    <t xml:space="preserve">High Risk</t>
  </si>
  <si>
    <t xml:space="preserve">Medium Risk</t>
  </si>
  <si>
    <t xml:space="preserve">Low Risk</t>
  </si>
  <si>
    <t xml:space="preserve">Review</t>
  </si>
  <si>
    <t xml:space="preserve">Key Alerts</t>
  </si>
  <si>
    <t xml:space="preserve">Purchase Orders</t>
  </si>
  <si>
    <t xml:space="preserve">Blue text = source input data entered from PO records. Black text = formulas (do not overwrite).</t>
  </si>
  <si>
    <t xml:space="preserve">PO #</t>
  </si>
  <si>
    <t xml:space="preserve">Factory</t>
  </si>
  <si>
    <t xml:space="preserve">Factory
City</t>
  </si>
  <si>
    <t xml:space="preserve">SKU</t>
  </si>
  <si>
    <t xml:space="preserve">Product</t>
  </si>
  <si>
    <t xml:space="preserve">Qty</t>
  </si>
  <si>
    <t xml:space="preserve">Status</t>
  </si>
  <si>
    <t xml:space="preserve">Destination
Warehouse</t>
  </si>
  <si>
    <t xml:space="preserve">Ship
Method</t>
  </si>
  <si>
    <t xml:space="preserve">Stated ETA Notes</t>
  </si>
  <si>
    <t xml:space="preserve">Stated ETA
(Weeks)</t>
  </si>
  <si>
    <t xml:space="preserve">Ref. Sea
Transit (Wks)</t>
  </si>
  <si>
    <t xml:space="preserve">Ref. Air
Transit (Wks)</t>
  </si>
  <si>
    <t xml:space="preserve">Applicable Ref.
Transit (Wks)</t>
  </si>
  <si>
    <t xml:space="preserve">PO Risk Flag</t>
  </si>
  <si>
    <t xml:space="preserve">Ships to UK
Warehouse?</t>
  </si>
  <si>
    <t xml:space="preserve">PO-410</t>
  </si>
  <si>
    <t xml:space="preserve">Factory A</t>
  </si>
  <si>
    <t xml:space="preserve">HN-RB-300</t>
  </si>
  <si>
    <t xml:space="preserve">In production — on track</t>
  </si>
  <si>
    <t xml:space="preserve">HK</t>
  </si>
  <si>
    <t xml:space="preserve">Sea</t>
  </si>
  <si>
    <t xml:space="preserve">Ships to HK, ETA 3.5 weeks</t>
  </si>
  <si>
    <t xml:space="preserve">PO-411</t>
  </si>
  <si>
    <t xml:space="preserve">HN-NC-075</t>
  </si>
  <si>
    <t xml:space="preserve">US</t>
  </si>
  <si>
    <t xml:space="preserve">Ships to LA, ETA 4 weeks</t>
  </si>
  <si>
    <t xml:space="preserve">PO-412</t>
  </si>
  <si>
    <t xml:space="preserve">Factory C</t>
  </si>
  <si>
    <t xml:space="preserve">HN-HM-100</t>
  </si>
  <si>
    <t xml:space="preserve">Production delayed — raw material shortage</t>
  </si>
  <si>
    <t xml:space="preserve">Unknown</t>
  </si>
  <si>
    <t xml:space="preserve">Originally ETA 3 weeks, now unknown</t>
  </si>
  <si>
    <t xml:space="preserve">PO-413</t>
  </si>
  <si>
    <t xml:space="preserve">Factory D</t>
  </si>
  <si>
    <t xml:space="preserve">HN-LB-250</t>
  </si>
  <si>
    <t xml:space="preserve">Completed — ready for pickup</t>
  </si>
  <si>
    <t xml:space="preserve">Awaiting shipping instructions</t>
  </si>
  <si>
    <t xml:space="preserve">PO-414</t>
  </si>
  <si>
    <t xml:space="preserve">Factory E</t>
  </si>
  <si>
    <t xml:space="preserve">HN-EO-030</t>
  </si>
  <si>
    <t xml:space="preserve">Unconfirmed — awaiting factory response (4 days)</t>
  </si>
  <si>
    <t xml:space="preserve">PO-415</t>
  </si>
  <si>
    <t xml:space="preserve">Factory F</t>
  </si>
  <si>
    <t xml:space="preserve">HN-BC-400</t>
  </si>
  <si>
    <t xml:space="preserve">Ships to LA, ETA 6 weeks (sea)</t>
  </si>
  <si>
    <t xml:space="preserve">TOTAL</t>
  </si>
  <si>
    <t xml:space="preserve">Notes &amp; Assumptions</t>
  </si>
  <si>
    <t xml:space="preserve">• Destination Warehouse and Ship Method are extracted from each PO's status/ETA notes as provided; recorded as 'Unknown' where the source did not specify a destination or method yet.</t>
  </si>
  <si>
    <t xml:space="preserve">• Ship Method is assumed 'Sea' where not explicitly stated but the ETA is multi-week in scale (consistent with sea freight lead times in Reference Data); PO-415 explicitly stated '(sea)'.</t>
  </si>
  <si>
    <t xml:space="preserve">• PO Risk Flag is a formula that searches the Status text for keywords ("delayed", "Unconfirmed", "Completed", "on track") — edit the Status text and the flag recalculates automatically.</t>
  </si>
  <si>
    <t xml:space="preserve">• Reference Sea/Air Transit columns are pulled live from the Reference Data Shipping Lead Times table via the Factory City + Destination Warehouse route — they show the typical transit time for that lane, for comparison against the Stated ETA.</t>
  </si>
  <si>
    <t xml:space="preserve">Inventory &amp; Coverage</t>
  </si>
  <si>
    <t xml:space="preserve">Stockout Risk Thresholds (editable assumptions):</t>
  </si>
  <si>
    <t xml:space="preserve">High Risk if Weeks of Cover &lt;</t>
  </si>
  <si>
    <t xml:space="preserve">Medium Risk if Weeks of Cover &lt;</t>
  </si>
  <si>
    <t xml:space="preserve">(Low Risk otherwise)</t>
  </si>
  <si>
    <t xml:space="preserve">Category</t>
  </si>
  <si>
    <t xml:space="preserve">Primary
Factory</t>
  </si>
  <si>
    <t xml:space="preserve">US (LA)
Qty</t>
  </si>
  <si>
    <t xml:space="preserve">UK (Manchester)
Qty</t>
  </si>
  <si>
    <t xml:space="preserve">HK
Qty</t>
  </si>
  <si>
    <t xml:space="preserve">Total
Qty</t>
  </si>
  <si>
    <t xml:space="preserve">Weekly Sell-
Through Rate</t>
  </si>
  <si>
    <t xml:space="preserve">Total Weeks
of Cover</t>
  </si>
  <si>
    <t xml:space="preserve">Total Stockout
Risk</t>
  </si>
  <si>
    <t xml:space="preserve">UK Weeks
of Cover</t>
  </si>
  <si>
    <t xml:space="preserve">UK Stockout
Risk</t>
  </si>
  <si>
    <t xml:space="preserve">Open PO Qty
(All Dest.)</t>
  </si>
  <si>
    <t xml:space="preserve">Open PO Qty
to UK</t>
  </si>
  <si>
    <t xml:space="preserve">HN-FS-050</t>
  </si>
  <si>
    <t xml:space="preserve">HN-BW-200</t>
  </si>
  <si>
    <t xml:space="preserve">HN-SM-150</t>
  </si>
  <si>
    <t xml:space="preserve">• Product, Category, and Primary Factory are looked up live from the Reference Data Product Catalog — SKU is the only identifying input needed on this sheet.</t>
  </si>
  <si>
    <t xml:space="preserve">• Weekly Sell-Through Rate is a single blended rate per SKU (not broken out by warehouse), as provided in source data. UK Weeks of Cover therefore approximates the UK warehouse independently covering total demand at that SKU's overall sell-through rate — read it as a directional risk indicator, not a precise per-location forecast.</t>
  </si>
  <si>
    <t xml:space="preserve">• Open PO Qty columns pull live from the Purchase Orders sheet (SUMIF/SUMIFS by SKU), so incoming replenishment updates automatically as POs change.</t>
  </si>
  <si>
    <t xml:space="preserve">• Risk thresholds in B4:B5 are editable assumptions — changing them recalculates every Stockout Risk flag on this sheet.</t>
  </si>
  <si>
    <t xml:space="preserve">Reference Data</t>
  </si>
  <si>
    <t xml:space="preserve">Fulfillment Warehouses</t>
  </si>
  <si>
    <t xml:space="preserve">Warehouse Code</t>
  </si>
  <si>
    <t xml:space="preserve">Region / Name</t>
  </si>
  <si>
    <t xml:space="preserve">City</t>
  </si>
  <si>
    <t xml:space="preserve">US West</t>
  </si>
  <si>
    <t xml:space="preserve">Los Angeles</t>
  </si>
  <si>
    <t xml:space="preserve">UK</t>
  </si>
  <si>
    <t xml:space="preserve">Manchester</t>
  </si>
  <si>
    <t xml:space="preserve">Asia</t>
  </si>
  <si>
    <t xml:space="preserve">Hong Kong</t>
  </si>
  <si>
    <t xml:space="preserve">Product Catalog</t>
  </si>
  <si>
    <t xml:space="preserve">Primary Factory</t>
  </si>
  <si>
    <t xml:space="preserve">Recovery Balm 300ml</t>
  </si>
  <si>
    <t xml:space="preserve">Body Care</t>
  </si>
  <si>
    <t xml:space="preserve">Face Serum 50ml</t>
  </si>
  <si>
    <t xml:space="preserve">Skincare</t>
  </si>
  <si>
    <t xml:space="preserve">Body Wash 200ml</t>
  </si>
  <si>
    <t xml:space="preserve">Factory B</t>
  </si>
  <si>
    <t xml:space="preserve">Hair Mask 100ml</t>
  </si>
  <si>
    <t xml:space="preserve">Hair Care</t>
  </si>
  <si>
    <t xml:space="preserve">Lip Balm 3-Pack</t>
  </si>
  <si>
    <t xml:space="preserve">Scalp Mist 150ml</t>
  </si>
  <si>
    <t xml:space="preserve">Essential Oil Blend 30ml</t>
  </si>
  <si>
    <t xml:space="preserve">Wellness</t>
  </si>
  <si>
    <t xml:space="preserve">Bath Crystals 400g</t>
  </si>
  <si>
    <t xml:space="preserve">Night Cream 75ml</t>
  </si>
  <si>
    <t xml:space="preserve">Factory Network</t>
  </si>
  <si>
    <t xml:space="preserve">Country</t>
  </si>
  <si>
    <t xml:space="preserve">SKUs Produced</t>
  </si>
  <si>
    <t xml:space="preserve">MOQ</t>
  </si>
  <si>
    <t xml:space="preserve">Production Lead Time (Weeks)</t>
  </si>
  <si>
    <t xml:space="preserve">Shenzhen</t>
  </si>
  <si>
    <t xml:space="preserve">China</t>
  </si>
  <si>
    <t xml:space="preserve">HN-RB-300, HN-FS-050, HN-NC-075</t>
  </si>
  <si>
    <t xml:space="preserve">500 units/SKU</t>
  </si>
  <si>
    <t xml:space="preserve">Active — reliable, primary partner</t>
  </si>
  <si>
    <t xml:space="preserve">Chiang Mai</t>
  </si>
  <si>
    <t xml:space="preserve">Thailand</t>
  </si>
  <si>
    <t xml:space="preserve">400 units</t>
  </si>
  <si>
    <t xml:space="preserve">Active — reliable</t>
  </si>
  <si>
    <t xml:space="preserve">Jakarta</t>
  </si>
  <si>
    <t xml:space="preserve">Indonesia</t>
  </si>
  <si>
    <t xml:space="preserve">HN-HM-100, HN-SM-150</t>
  </si>
  <si>
    <t xml:space="preserve">300 units/SKU</t>
  </si>
  <si>
    <t xml:space="preserve">Active — occasional delays</t>
  </si>
  <si>
    <t xml:space="preserve">Taipei</t>
  </si>
  <si>
    <t xml:space="preserve">Taiwan</t>
  </si>
  <si>
    <t xml:space="preserve">1,000 units</t>
  </si>
  <si>
    <t xml:space="preserve">Active — high MOQ but fast</t>
  </si>
  <si>
    <t xml:space="preserve">200 units</t>
  </si>
  <si>
    <t xml:space="preserve">New — first PO in progress</t>
  </si>
  <si>
    <t xml:space="preserve">Ho Chi Minh City</t>
  </si>
  <si>
    <t xml:space="preserve">Vietnam</t>
  </si>
  <si>
    <t xml:space="preserve">500 units</t>
  </si>
  <si>
    <t xml:space="preserve">Active — long lead time</t>
  </si>
  <si>
    <t xml:space="preserve">Shipping Lead Times</t>
  </si>
  <si>
    <t xml:space="preserve">Origin (Factory City)</t>
  </si>
  <si>
    <t xml:space="preserve">Destination (Warehouse Code)</t>
  </si>
  <si>
    <t xml:space="preserve">Sea Freight (Weeks)</t>
  </si>
  <si>
    <t xml:space="preserve">Air Freight (Days)</t>
  </si>
  <si>
    <t xml:space="preserve">Air Freight (Weeks)</t>
  </si>
  <si>
    <t xml:space="preserve">Route Key</t>
  </si>
  <si>
    <t xml:space="preserve">• Blue text = source input data. Black text = formulas that recalculate automatically.</t>
  </si>
  <si>
    <t xml:space="preserve">• Air Freight is converted from days to weeks (÷ 7) in column E for comparison with Sea Freight.</t>
  </si>
  <si>
    <t xml:space="preserve">• Shenzhen→HK and Taipei→HK Sea Freight were stated in the source as '2 days' (an outlier vs. all other Sea Freight entries, which were given in weeks); converted to weeks (2/7 ≈ 0.29) here for unit consistency with the rest of the column.</t>
  </si>
  <si>
    <t xml:space="preserve">• Route Key (column F) concatenates Origin City + Destination Warehouse Code and is used by Purchase Orders lookups.</t>
  </si>
  <si>
    <t xml:space="preserve">• MOQ and Production Lead Time figures are as provided by the factory network source data.</t>
  </si>
</sst>
</file>

<file path=xl/styles.xml><?xml version="1.0" encoding="utf-8"?>
<styleSheet xmlns="http://schemas.openxmlformats.org/spreadsheetml/2006/main">
  <numFmts count="5">
    <numFmt numFmtId="164" formatCode="General"/>
    <numFmt numFmtId="165" formatCode="General"/>
    <numFmt numFmtId="166" formatCode="#,##0"/>
    <numFmt numFmtId="167" formatCode="0.0"/>
    <numFmt numFmtId="168" formatCode="0.00"/>
  </numFmts>
  <fonts count="1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595959"/>
      <name val="Arial"/>
      <family val="0"/>
      <charset val="1"/>
    </font>
    <font>
      <b val="true"/>
      <sz val="12"/>
      <color rgb="FF1F4E78"/>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00"/>
      <name val="Arial"/>
      <family val="0"/>
      <charset val="1"/>
    </font>
    <font>
      <sz val="10"/>
      <color rgb="FF0000FF"/>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D9D9D9"/>
        <bgColor rgb="FFBDD7EE"/>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1"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6" fontId="11" fillId="0" borderId="1" xfId="0" applyFont="true" applyBorder="true" applyAlignment="true" applyProtection="false">
      <alignment horizontal="right"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8"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right"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8"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7" fontId="11" fillId="0" borderId="1" xfId="0" applyFont="true" applyBorder="true" applyAlignment="true" applyProtection="false">
      <alignment horizontal="left" vertical="center" textRotation="0" wrapText="false" indent="0" shrinkToFit="false"/>
      <protection locked="true" hidden="false"/>
    </xf>
    <xf numFmtId="168" fontId="11" fillId="0" borderId="1" xfId="0" applyFont="true" applyBorder="true" applyAlignment="true" applyProtection="false">
      <alignment horizontal="left" vertical="center" textRotation="0" wrapText="false" indent="0" shrinkToFit="false"/>
      <protection locked="true" hidden="false"/>
    </xf>
    <xf numFmtId="168" fontId="10" fillId="0"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color rgb="FF9C0006"/>
        <sz val="10"/>
      </font>
      <fill>
        <patternFill>
          <bgColor rgb="FFFFC7CE"/>
        </patternFill>
      </fill>
    </dxf>
    <dxf>
      <font>
        <name val="Arial"/>
        <charset val="1"/>
        <family val="0"/>
        <color rgb="FF006100"/>
        <sz val="10"/>
      </font>
      <fill>
        <patternFill>
          <bgColor rgb="FFC6EFCE"/>
        </patternFill>
      </fill>
    </dxf>
    <dxf>
      <font>
        <name val="Arial"/>
        <charset val="1"/>
        <family val="0"/>
        <color rgb="FF9C6500"/>
        <sz val="10"/>
      </font>
      <fill>
        <patternFill>
          <bgColor rgb="FFFFEB9C"/>
        </patternFill>
      </fill>
    </dxf>
    <dxf>
      <font>
        <name val="Arial"/>
        <charset val="1"/>
        <family val="0"/>
        <b val="1"/>
        <color rgb="FF1F4E78"/>
      </font>
      <fill>
        <patternFill>
          <bgColor rgb="FFBDD7E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FFFCC"/>
      <rgbColor rgb="FFD9D9D9"/>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F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6"/>
    <col collapsed="false" customWidth="true" hidden="false" outlineLevel="0" max="4" min="4" style="0" width="34"/>
    <col collapsed="false" customWidth="true" hidden="false" outlineLevel="0" max="5" min="5" style="0" width="14"/>
    <col collapsed="false" customWidth="true" hidden="false" outlineLevel="0" max="6" min="6" style="0" width="12"/>
  </cols>
  <sheetData>
    <row r="1" customFormat="false" ht="25.5" hidden="false" customHeight="true" outlineLevel="0" collapsed="false">
      <c r="A1" s="1" t="s">
        <v>0</v>
      </c>
      <c r="B1" s="1"/>
      <c r="C1" s="1"/>
      <c r="D1" s="1"/>
      <c r="E1" s="1"/>
    </row>
    <row r="2" customFormat="false" ht="15" hidden="false" customHeight="false" outlineLevel="0" collapsed="false">
      <c r="A2" s="2" t="s">
        <v>1</v>
      </c>
      <c r="B2" s="2"/>
      <c r="C2" s="2"/>
      <c r="D2" s="2"/>
      <c r="E2" s="2"/>
    </row>
    <row r="4" customFormat="false" ht="18" hidden="false" customHeight="true" outlineLevel="0" collapsed="false">
      <c r="A4" s="3" t="s">
        <v>2</v>
      </c>
      <c r="B4" s="3"/>
      <c r="C4" s="3"/>
      <c r="D4" s="3"/>
      <c r="E4" s="3"/>
    </row>
    <row r="5" customFormat="false" ht="15" hidden="false" customHeight="false" outlineLevel="0" collapsed="false">
      <c r="A5" s="4" t="s">
        <v>3</v>
      </c>
      <c r="B5" s="5" t="n">
        <f aca="false">COUNTA('Purchase Orders'!A6:A11)</f>
        <v>6</v>
      </c>
      <c r="D5" s="4" t="s">
        <v>4</v>
      </c>
      <c r="E5" s="5" t="n">
        <f aca="false">COUNTA('Inventory &amp; Coverage'!A8:A16)</f>
        <v>9</v>
      </c>
    </row>
    <row r="6" customFormat="false" ht="15" hidden="false" customHeight="false" outlineLevel="0" collapsed="false">
      <c r="A6" s="4" t="s">
        <v>5</v>
      </c>
      <c r="B6" s="5" t="n">
        <f aca="false">COUNTIF('Purchase Orders'!O6:O11,"High Risk")</f>
        <v>2</v>
      </c>
      <c r="D6" s="4" t="s">
        <v>6</v>
      </c>
      <c r="E6" s="5" t="n">
        <f aca="false">COUNTIF('Inventory &amp; Coverage'!K8:K16,"High Risk")</f>
        <v>0</v>
      </c>
    </row>
    <row r="7" customFormat="false" ht="15" hidden="false" customHeight="false" outlineLevel="0" collapsed="false">
      <c r="A7" s="4" t="s">
        <v>7</v>
      </c>
      <c r="B7" s="5" t="n">
        <f aca="false">COUNTIF('Purchase Orders'!O6:O11,"Medium Risk")</f>
        <v>1</v>
      </c>
      <c r="D7" s="4" t="s">
        <v>8</v>
      </c>
      <c r="E7" s="5" t="n">
        <f aca="false">COUNTIF('Inventory &amp; Coverage'!K8:K16,"Medium Risk")</f>
        <v>9</v>
      </c>
    </row>
    <row r="8" customFormat="false" ht="15" hidden="false" customHeight="false" outlineLevel="0" collapsed="false">
      <c r="A8" s="4" t="s">
        <v>9</v>
      </c>
      <c r="B8" s="5" t="n">
        <f aca="false">COUNTIF('Purchase Orders'!O6:O11,"Low Risk")</f>
        <v>3</v>
      </c>
      <c r="D8" s="4" t="s">
        <v>10</v>
      </c>
      <c r="E8" s="5" t="n">
        <f aca="false">COUNTIF('Inventory &amp; Coverage'!M8:M16,"High Risk")</f>
        <v>9</v>
      </c>
    </row>
    <row r="9" customFormat="false" ht="15" hidden="false" customHeight="false" outlineLevel="0" collapsed="false">
      <c r="A9" s="4" t="s">
        <v>11</v>
      </c>
      <c r="B9" s="6" t="n">
        <f aca="false">SUM('Purchase Orders'!F6:F11)</f>
        <v>3000</v>
      </c>
      <c r="D9" s="4" t="s">
        <v>12</v>
      </c>
      <c r="E9" s="6" t="n">
        <f aca="false">SUM('Inventory &amp; Coverage'!H8:H16)</f>
        <v>1966</v>
      </c>
    </row>
    <row r="10" customFormat="false" ht="15" hidden="false" customHeight="false" outlineLevel="0" collapsed="false">
      <c r="A10" s="4" t="s">
        <v>13</v>
      </c>
      <c r="B10" s="5" t="n">
        <f aca="false">COUNTIF('Purchase Orders'!H6:H11,"UK")</f>
        <v>0</v>
      </c>
      <c r="D10" s="4" t="s">
        <v>14</v>
      </c>
      <c r="E10" s="6" t="n">
        <f aca="false">SUM('Inventory &amp; Coverage'!F8:F16)</f>
        <v>221</v>
      </c>
    </row>
    <row r="11" customFormat="false" ht="15" hidden="false" customHeight="false" outlineLevel="0" collapsed="false">
      <c r="A11" s="4" t="s">
        <v>15</v>
      </c>
      <c r="B11" s="7" t="str">
        <f aca="false">IF(B10&gt;0,"Yes","No")</f>
        <v>No</v>
      </c>
      <c r="D11" s="4" t="s">
        <v>16</v>
      </c>
      <c r="E11" s="5" t="n">
        <f aca="false">SUMPRODUCT(('Inventory &amp; Coverage'!M8:M16="High Risk")*('Inventory &amp; Coverage'!O8:O16=0))</f>
        <v>9</v>
      </c>
    </row>
    <row r="13" customFormat="false" ht="18" hidden="false" customHeight="true" outlineLevel="0" collapsed="false">
      <c r="A13" s="3" t="s">
        <v>17</v>
      </c>
      <c r="B13" s="3"/>
      <c r="D13" s="3" t="s">
        <v>18</v>
      </c>
      <c r="E13" s="3"/>
      <c r="F13" s="3"/>
    </row>
    <row r="14" customFormat="false" ht="30" hidden="false" customHeight="true" outlineLevel="0" collapsed="false">
      <c r="A14" s="8" t="s">
        <v>19</v>
      </c>
      <c r="B14" s="8" t="s">
        <v>20</v>
      </c>
      <c r="D14" s="8" t="s">
        <v>19</v>
      </c>
      <c r="E14" s="8" t="s">
        <v>21</v>
      </c>
      <c r="F14" s="8" t="s">
        <v>22</v>
      </c>
    </row>
    <row r="15" customFormat="false" ht="15" hidden="false" customHeight="false" outlineLevel="0" collapsed="false">
      <c r="A15" s="9" t="s">
        <v>23</v>
      </c>
      <c r="B15" s="10" t="n">
        <f aca="false">COUNTIF('Purchase Orders'!O6:O11,"High Risk")</f>
        <v>2</v>
      </c>
      <c r="D15" s="9" t="s">
        <v>23</v>
      </c>
      <c r="E15" s="10" t="n">
        <f aca="false">COUNTIF('Inventory &amp; Coverage'!K8:K16,"High Risk")</f>
        <v>0</v>
      </c>
      <c r="F15" s="10" t="n">
        <f aca="false">COUNTIF('Inventory &amp; Coverage'!M8:M16,"High Risk")</f>
        <v>9</v>
      </c>
    </row>
    <row r="16" customFormat="false" ht="15" hidden="false" customHeight="false" outlineLevel="0" collapsed="false">
      <c r="A16" s="9" t="s">
        <v>24</v>
      </c>
      <c r="B16" s="10" t="n">
        <f aca="false">COUNTIF('Purchase Orders'!O6:O11,"Medium Risk")</f>
        <v>1</v>
      </c>
      <c r="D16" s="9" t="s">
        <v>24</v>
      </c>
      <c r="E16" s="10" t="n">
        <f aca="false">COUNTIF('Inventory &amp; Coverage'!K8:K16,"Medium Risk")</f>
        <v>9</v>
      </c>
      <c r="F16" s="10" t="n">
        <f aca="false">COUNTIF('Inventory &amp; Coverage'!M8:M16,"Medium Risk")</f>
        <v>0</v>
      </c>
    </row>
    <row r="17" customFormat="false" ht="15" hidden="false" customHeight="false" outlineLevel="0" collapsed="false">
      <c r="A17" s="9" t="s">
        <v>25</v>
      </c>
      <c r="B17" s="10" t="n">
        <f aca="false">COUNTIF('Purchase Orders'!O6:O11,"Low Risk")</f>
        <v>3</v>
      </c>
      <c r="D17" s="9" t="s">
        <v>25</v>
      </c>
      <c r="E17" s="10" t="n">
        <f aca="false">COUNTIF('Inventory &amp; Coverage'!K8:K16,"Low Risk")</f>
        <v>0</v>
      </c>
      <c r="F17" s="10" t="n">
        <f aca="false">COUNTIF('Inventory &amp; Coverage'!M8:M16,"Low Risk")</f>
        <v>0</v>
      </c>
    </row>
    <row r="18" customFormat="false" ht="15" hidden="false" customHeight="false" outlineLevel="0" collapsed="false">
      <c r="A18" s="9" t="s">
        <v>26</v>
      </c>
      <c r="B18" s="10" t="n">
        <f aca="false">COUNTIF('Purchase Orders'!O6:O11,"Review")</f>
        <v>0</v>
      </c>
    </row>
    <row r="20" customFormat="false" ht="18" hidden="false" customHeight="true" outlineLevel="0" collapsed="false">
      <c r="A20" s="3" t="s">
        <v>27</v>
      </c>
      <c r="B20" s="3"/>
      <c r="C20" s="3"/>
      <c r="D20" s="3"/>
      <c r="E20" s="3"/>
      <c r="F20" s="3"/>
    </row>
    <row r="21" customFormat="false" ht="18" hidden="false" customHeight="true" outlineLevel="0" collapsed="false">
      <c r="A21" s="11" t="str">
        <f aca="false">"UK Warehouse Shipping: "&amp;IF(B10=0,"No open purchase orders are currently shipping to the UK warehouse.",B10&amp;" open PO(s) shipping to UK.")</f>
        <v>UK Warehouse Shipping: No open purchase orders are currently shipping to the UK warehouse.</v>
      </c>
      <c r="B21" s="11"/>
      <c r="C21" s="11"/>
      <c r="D21" s="11"/>
      <c r="E21" s="11"/>
      <c r="F21" s="11"/>
    </row>
    <row r="22" customFormat="false" ht="18" hidden="false" customHeight="true" outlineLevel="0" collapsed="false">
      <c r="A22" s="11" t="str">
        <f aca="false">"UK Stockout Risk: "&amp;E8&amp;" of "&amp;E5&amp;" SKUs are at High stockout risk in the UK warehouse; "&amp;E11&amp;" of those currently have zero replenishment in transit to UK."</f>
        <v>UK Stockout Risk: 9 of 9 SKUs are at High stockout risk in the UK warehouse; 9 of those currently have zero replenishment in transit to UK.</v>
      </c>
      <c r="B22" s="11"/>
      <c r="C22" s="11"/>
      <c r="D22" s="11"/>
      <c r="E22" s="11"/>
      <c r="F22" s="11"/>
    </row>
    <row r="23" customFormat="false" ht="18" hidden="false" customHeight="true" outlineLevel="0" collapsed="false">
      <c r="A23" s="11" t="str">
        <f aca="false">"Purchase Order Risk: "&amp;B6&amp;" of "&amp;B5&amp;" open PO(s) are flagged High Risk and require follow-up."</f>
        <v>Purchase Order Risk: 2 of 6 open PO(s) are flagged High Risk and require follow-up.</v>
      </c>
      <c r="B23" s="11"/>
      <c r="C23" s="11"/>
      <c r="D23" s="11"/>
      <c r="E23" s="11"/>
      <c r="F23" s="11"/>
    </row>
  </sheetData>
  <mergeCells count="9">
    <mergeCell ref="A1:E1"/>
    <mergeCell ref="A2:E2"/>
    <mergeCell ref="A4:E4"/>
    <mergeCell ref="A13:B13"/>
    <mergeCell ref="D13:F13"/>
    <mergeCell ref="A20:F20"/>
    <mergeCell ref="A21:F21"/>
    <mergeCell ref="A22:F22"/>
    <mergeCell ref="A23:F23"/>
  </mergeCells>
  <conditionalFormatting sqref="B11">
    <cfRule type="cellIs" priority="2" operator="equal" aboveAverage="0" equalAverage="0" bottom="0" percent="0" rank="0" text="" dxfId="0">
      <formula>"No"</formula>
    </cfRule>
    <cfRule type="cellIs" priority="3" operator="equal" aboveAverage="0" equalAverage="0" bottom="0" percent="0" rank="0" text="" dxfId="1">
      <formula>"Yes"</formula>
    </cfRule>
  </conditionalFormatting>
  <conditionalFormatting sqref="A15:A18">
    <cfRule type="cellIs" priority="4" operator="equal" aboveAverage="0" equalAverage="0" bottom="0" percent="0" rank="0" text="" dxfId="0">
      <formula>"High Risk"</formula>
    </cfRule>
    <cfRule type="cellIs" priority="5" operator="equal" aboveAverage="0" equalAverage="0" bottom="0" percent="0" rank="0" text="" dxfId="2">
      <formula>"Medium Risk"</formula>
    </cfRule>
    <cfRule type="cellIs" priority="6" operator="equal" aboveAverage="0" equalAverage="0" bottom="0" percent="0" rank="0" text="" dxfId="1">
      <formula>"Low Risk"</formula>
    </cfRule>
  </conditionalFormatting>
  <conditionalFormatting sqref="D15:D17">
    <cfRule type="cellIs" priority="7" operator="equal" aboveAverage="0" equalAverage="0" bottom="0" percent="0" rank="0" text="" dxfId="0">
      <formula>"High Risk"</formula>
    </cfRule>
    <cfRule type="cellIs" priority="8" operator="equal" aboveAverage="0" equalAverage="0" bottom="0" percent="0" rank="0" text="" dxfId="2">
      <formula>"Medium Risk"</formula>
    </cfRule>
    <cfRule type="cellIs" priority="9" operator="equal" aboveAverage="0" equalAverage="0" bottom="0" percent="0" rank="0" text="" dxfId="1">
      <formula>"Low Risk"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P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5"/>
    <col collapsed="false" customWidth="true" hidden="false" outlineLevel="0" max="4" min="4" style="0" width="12"/>
    <col collapsed="false" customWidth="true" hidden="false" outlineLevel="0" max="5" min="5" style="0" width="20"/>
    <col collapsed="false" customWidth="true" hidden="false" outlineLevel="0" max="6" min="6" style="0" width="8"/>
    <col collapsed="false" customWidth="true" hidden="false" outlineLevel="0" max="7" min="7" style="0" width="30"/>
    <col collapsed="false" customWidth="true" hidden="false" outlineLevel="0" max="8" min="8" style="0" width="12"/>
    <col collapsed="false" customWidth="true" hidden="false" outlineLevel="0" max="9" min="9" style="0" width="11"/>
    <col collapsed="false" customWidth="true" hidden="false" outlineLevel="0" max="10" min="10" style="0" width="26"/>
    <col collapsed="false" customWidth="true" hidden="false" outlineLevel="0" max="13" min="11" style="0" width="12"/>
    <col collapsed="false" customWidth="true" hidden="false" outlineLevel="0" max="14" min="14" style="0" width="14"/>
    <col collapsed="false" customWidth="true" hidden="false" outlineLevel="0" max="16" min="15" style="0" width="13"/>
  </cols>
  <sheetData>
    <row r="1" customFormat="false" ht="25.5" hidden="false" customHeight="true" outlineLevel="0" collapsed="false">
      <c r="A1" s="1" t="s">
        <v>28</v>
      </c>
      <c r="B1" s="1"/>
      <c r="C1" s="1"/>
      <c r="D1" s="1"/>
      <c r="E1" s="1"/>
      <c r="F1" s="1"/>
      <c r="G1" s="1"/>
      <c r="H1" s="1"/>
      <c r="I1" s="1"/>
      <c r="J1" s="1"/>
      <c r="K1" s="1"/>
      <c r="L1" s="1"/>
      <c r="M1" s="1"/>
      <c r="N1" s="1"/>
      <c r="O1" s="1"/>
      <c r="P1" s="1"/>
    </row>
    <row r="3" customFormat="false" ht="15" hidden="false" customHeight="false" outlineLevel="0" collapsed="false">
      <c r="A3" s="2" t="s">
        <v>29</v>
      </c>
      <c r="B3" s="2"/>
      <c r="C3" s="2"/>
      <c r="D3" s="2"/>
      <c r="E3" s="2"/>
      <c r="F3" s="2"/>
      <c r="G3" s="2"/>
      <c r="H3" s="2"/>
      <c r="I3" s="2"/>
      <c r="J3" s="2"/>
      <c r="K3" s="2"/>
      <c r="L3" s="2"/>
      <c r="M3" s="2"/>
      <c r="N3" s="2"/>
      <c r="O3" s="2"/>
      <c r="P3" s="2"/>
    </row>
    <row r="5" customFormat="false" ht="30" hidden="false" customHeight="true" outlineLevel="0" collapsed="false">
      <c r="A5" s="8" t="s">
        <v>30</v>
      </c>
      <c r="B5" s="8" t="s">
        <v>31</v>
      </c>
      <c r="C5" s="8" t="s">
        <v>32</v>
      </c>
      <c r="D5" s="8" t="s">
        <v>33</v>
      </c>
      <c r="E5" s="8" t="s">
        <v>34</v>
      </c>
      <c r="F5" s="8" t="s">
        <v>35</v>
      </c>
      <c r="G5" s="8" t="s">
        <v>36</v>
      </c>
      <c r="H5" s="8" t="s">
        <v>37</v>
      </c>
      <c r="I5" s="8" t="s">
        <v>38</v>
      </c>
      <c r="J5" s="8" t="s">
        <v>39</v>
      </c>
      <c r="K5" s="8" t="s">
        <v>40</v>
      </c>
      <c r="L5" s="8" t="s">
        <v>41</v>
      </c>
      <c r="M5" s="8" t="s">
        <v>42</v>
      </c>
      <c r="N5" s="8" t="s">
        <v>43</v>
      </c>
      <c r="O5" s="8" t="s">
        <v>44</v>
      </c>
      <c r="P5" s="8" t="s">
        <v>45</v>
      </c>
    </row>
    <row r="6" customFormat="false" ht="15" hidden="false" customHeight="false" outlineLevel="0" collapsed="false">
      <c r="A6" s="12" t="s">
        <v>46</v>
      </c>
      <c r="B6" s="12" t="s">
        <v>47</v>
      </c>
      <c r="C6" s="9" t="str">
        <f aca="false">IFERROR(INDEX('Reference Data'!$B$22:$B$27,MATCH(B6,'Reference Data'!$A$22:$A$27,0)),"N/A")</f>
        <v>Shenzhen</v>
      </c>
      <c r="D6" s="12" t="s">
        <v>48</v>
      </c>
      <c r="E6" s="9" t="str">
        <f aca="false">IFERROR(INDEX('Reference Data'!$B$10:$B$18,MATCH(D6,'Reference Data'!$A$10:$A$18,0)),"N/A")</f>
        <v>Recovery Balm 300ml</v>
      </c>
      <c r="F6" s="13" t="n">
        <v>500</v>
      </c>
      <c r="G6" s="12" t="s">
        <v>49</v>
      </c>
      <c r="H6" s="14" t="s">
        <v>50</v>
      </c>
      <c r="I6" s="14" t="s">
        <v>51</v>
      </c>
      <c r="J6" s="12" t="s">
        <v>52</v>
      </c>
      <c r="K6" s="15" t="n">
        <v>3.5</v>
      </c>
      <c r="L6" s="16" t="n">
        <f aca="false">IFERROR(INDEX('Reference Data'!$C$31:$C$45,MATCH($C6&amp;"|"&amp;$H6,'Reference Data'!$F$31:$F$45,0)),"N/A")</f>
        <v>0.285714285714286</v>
      </c>
      <c r="M6" s="16" t="n">
        <f aca="false">IFERROR(INDEX('Reference Data'!$E$31:$E$45,MATCH($C6&amp;"|"&amp;$H6,'Reference Data'!$F$31:$F$45,0)),"N/A")</f>
        <v>0.142857142857143</v>
      </c>
      <c r="N6" s="16" t="n">
        <f aca="false">IF(I6="Air",M6,IF(I6="Sea",L6,"N/A"))</f>
        <v>0.285714285714286</v>
      </c>
      <c r="O6" s="17" t="str">
        <f aca="false">IF(ISNUMBER(SEARCH("delayed",G6)),"High Risk",IF(ISNUMBER(SEARCH("Unconfirmed",G6)),"High Risk",IF(ISNUMBER(SEARCH("Completed",G6)),"Medium Risk",IF(ISNUMBER(SEARCH("on track",G6)),"Low Risk","Review"))))</f>
        <v>Low Risk</v>
      </c>
      <c r="P6" s="17" t="str">
        <f aca="false">IF(H6="UK","Yes","No")</f>
        <v>No</v>
      </c>
    </row>
    <row r="7" customFormat="false" ht="15" hidden="false" customHeight="false" outlineLevel="0" collapsed="false">
      <c r="A7" s="12" t="s">
        <v>53</v>
      </c>
      <c r="B7" s="12" t="s">
        <v>47</v>
      </c>
      <c r="C7" s="9" t="str">
        <f aca="false">IFERROR(INDEX('Reference Data'!$B$22:$B$27,MATCH(B7,'Reference Data'!$A$22:$A$27,0)),"N/A")</f>
        <v>Shenzhen</v>
      </c>
      <c r="D7" s="12" t="s">
        <v>54</v>
      </c>
      <c r="E7" s="9" t="str">
        <f aca="false">IFERROR(INDEX('Reference Data'!$B$10:$B$18,MATCH(D7,'Reference Data'!$A$10:$A$18,0)),"N/A")</f>
        <v>Night Cream 75ml</v>
      </c>
      <c r="F7" s="13" t="n">
        <v>500</v>
      </c>
      <c r="G7" s="12" t="s">
        <v>49</v>
      </c>
      <c r="H7" s="14" t="s">
        <v>55</v>
      </c>
      <c r="I7" s="14" t="s">
        <v>51</v>
      </c>
      <c r="J7" s="12" t="s">
        <v>56</v>
      </c>
      <c r="K7" s="15" t="n">
        <v>4</v>
      </c>
      <c r="L7" s="16" t="n">
        <f aca="false">IFERROR(INDEX('Reference Data'!$C$31:$C$45,MATCH($C7&amp;"|"&amp;$H7,'Reference Data'!$F$31:$F$45,0)),"N/A")</f>
        <v>3</v>
      </c>
      <c r="M7" s="16" t="n">
        <f aca="false">IFERROR(INDEX('Reference Data'!$E$31:$E$45,MATCH($C7&amp;"|"&amp;$H7,'Reference Data'!$F$31:$F$45,0)),"N/A")</f>
        <v>0.714285714285714</v>
      </c>
      <c r="N7" s="16" t="n">
        <f aca="false">IF(I7="Air",M7,IF(I7="Sea",L7,"N/A"))</f>
        <v>3</v>
      </c>
      <c r="O7" s="17" t="str">
        <f aca="false">IF(ISNUMBER(SEARCH("delayed",G7)),"High Risk",IF(ISNUMBER(SEARCH("Unconfirmed",G7)),"High Risk",IF(ISNUMBER(SEARCH("Completed",G7)),"Medium Risk",IF(ISNUMBER(SEARCH("on track",G7)),"Low Risk","Review"))))</f>
        <v>Low Risk</v>
      </c>
      <c r="P7" s="17" t="str">
        <f aca="false">IF(H7="UK","Yes","No")</f>
        <v>No</v>
      </c>
    </row>
    <row r="8" customFormat="false" ht="15" hidden="false" customHeight="false" outlineLevel="0" collapsed="false">
      <c r="A8" s="12" t="s">
        <v>57</v>
      </c>
      <c r="B8" s="12" t="s">
        <v>58</v>
      </c>
      <c r="C8" s="9" t="str">
        <f aca="false">IFERROR(INDEX('Reference Data'!$B$22:$B$27,MATCH(B8,'Reference Data'!$A$22:$A$27,0)),"N/A")</f>
        <v>Jakarta</v>
      </c>
      <c r="D8" s="12" t="s">
        <v>59</v>
      </c>
      <c r="E8" s="9" t="str">
        <f aca="false">IFERROR(INDEX('Reference Data'!$B$10:$B$18,MATCH(D8,'Reference Data'!$A$10:$A$18,0)),"N/A")</f>
        <v>Hair Mask 100ml</v>
      </c>
      <c r="F8" s="13" t="n">
        <v>300</v>
      </c>
      <c r="G8" s="12" t="s">
        <v>60</v>
      </c>
      <c r="H8" s="14" t="s">
        <v>61</v>
      </c>
      <c r="I8" s="14" t="s">
        <v>61</v>
      </c>
      <c r="J8" s="12" t="s">
        <v>62</v>
      </c>
      <c r="K8" s="14" t="s">
        <v>61</v>
      </c>
      <c r="L8" s="16" t="str">
        <f aca="false">IFERROR(INDEX('Reference Data'!$C$31:$C$45,MATCH($C8&amp;"|"&amp;$H8,'Reference Data'!$F$31:$F$45,0)),"N/A")</f>
        <v>N/A</v>
      </c>
      <c r="M8" s="16" t="str">
        <f aca="false">IFERROR(INDEX('Reference Data'!$E$31:$E$45,MATCH($C8&amp;"|"&amp;$H8,'Reference Data'!$F$31:$F$45,0)),"N/A")</f>
        <v>N/A</v>
      </c>
      <c r="N8" s="16" t="str">
        <f aca="false">IF(I8="Air",M8,IF(I8="Sea",L8,"N/A"))</f>
        <v>N/A</v>
      </c>
      <c r="O8" s="17" t="str">
        <f aca="false">IF(ISNUMBER(SEARCH("delayed",G8)),"High Risk",IF(ISNUMBER(SEARCH("Unconfirmed",G8)),"High Risk",IF(ISNUMBER(SEARCH("Completed",G8)),"Medium Risk",IF(ISNUMBER(SEARCH("on track",G8)),"Low Risk","Review"))))</f>
        <v>High Risk</v>
      </c>
      <c r="P8" s="17" t="str">
        <f aca="false">IF(H8="UK","Yes","No")</f>
        <v>No</v>
      </c>
    </row>
    <row r="9" customFormat="false" ht="15" hidden="false" customHeight="false" outlineLevel="0" collapsed="false">
      <c r="A9" s="12" t="s">
        <v>63</v>
      </c>
      <c r="B9" s="12" t="s">
        <v>64</v>
      </c>
      <c r="C9" s="9" t="str">
        <f aca="false">IFERROR(INDEX('Reference Data'!$B$22:$B$27,MATCH(B9,'Reference Data'!$A$22:$A$27,0)),"N/A")</f>
        <v>Taipei</v>
      </c>
      <c r="D9" s="12" t="s">
        <v>65</v>
      </c>
      <c r="E9" s="9" t="str">
        <f aca="false">IFERROR(INDEX('Reference Data'!$B$10:$B$18,MATCH(D9,'Reference Data'!$A$10:$A$18,0)),"N/A")</f>
        <v>Lip Balm 3-Pack</v>
      </c>
      <c r="F9" s="13" t="n">
        <v>1000</v>
      </c>
      <c r="G9" s="12" t="s">
        <v>66</v>
      </c>
      <c r="H9" s="14" t="s">
        <v>61</v>
      </c>
      <c r="I9" s="14" t="s">
        <v>61</v>
      </c>
      <c r="J9" s="12" t="s">
        <v>67</v>
      </c>
      <c r="K9" s="14" t="s">
        <v>61</v>
      </c>
      <c r="L9" s="16" t="str">
        <f aca="false">IFERROR(INDEX('Reference Data'!$C$31:$C$45,MATCH($C9&amp;"|"&amp;$H9,'Reference Data'!$F$31:$F$45,0)),"N/A")</f>
        <v>N/A</v>
      </c>
      <c r="M9" s="16" t="str">
        <f aca="false">IFERROR(INDEX('Reference Data'!$E$31:$E$45,MATCH($C9&amp;"|"&amp;$H9,'Reference Data'!$F$31:$F$45,0)),"N/A")</f>
        <v>N/A</v>
      </c>
      <c r="N9" s="16" t="str">
        <f aca="false">IF(I9="Air",M9,IF(I9="Sea",L9,"N/A"))</f>
        <v>N/A</v>
      </c>
      <c r="O9" s="17" t="str">
        <f aca="false">IF(ISNUMBER(SEARCH("delayed",G9)),"High Risk",IF(ISNUMBER(SEARCH("Unconfirmed",G9)),"High Risk",IF(ISNUMBER(SEARCH("Completed",G9)),"Medium Risk",IF(ISNUMBER(SEARCH("on track",G9)),"Low Risk","Review"))))</f>
        <v>Medium Risk</v>
      </c>
      <c r="P9" s="17" t="str">
        <f aca="false">IF(H9="UK","Yes","No")</f>
        <v>No</v>
      </c>
    </row>
    <row r="10" customFormat="false" ht="15" hidden="false" customHeight="false" outlineLevel="0" collapsed="false">
      <c r="A10" s="12" t="s">
        <v>68</v>
      </c>
      <c r="B10" s="12" t="s">
        <v>69</v>
      </c>
      <c r="C10" s="9" t="str">
        <f aca="false">IFERROR(INDEX('Reference Data'!$B$22:$B$27,MATCH(B10,'Reference Data'!$A$22:$A$27,0)),"N/A")</f>
        <v>Chiang Mai</v>
      </c>
      <c r="D10" s="12" t="s">
        <v>70</v>
      </c>
      <c r="E10" s="9" t="str">
        <f aca="false">IFERROR(INDEX('Reference Data'!$B$10:$B$18,MATCH(D10,'Reference Data'!$A$10:$A$18,0)),"N/A")</f>
        <v>Essential Oil Blend 30ml</v>
      </c>
      <c r="F10" s="13" t="n">
        <v>200</v>
      </c>
      <c r="G10" s="12" t="s">
        <v>71</v>
      </c>
      <c r="H10" s="14" t="s">
        <v>61</v>
      </c>
      <c r="I10" s="14" t="s">
        <v>61</v>
      </c>
      <c r="J10" s="12" t="s">
        <v>61</v>
      </c>
      <c r="K10" s="14" t="s">
        <v>61</v>
      </c>
      <c r="L10" s="16" t="str">
        <f aca="false">IFERROR(INDEX('Reference Data'!$C$31:$C$45,MATCH($C10&amp;"|"&amp;$H10,'Reference Data'!$F$31:$F$45,0)),"N/A")</f>
        <v>N/A</v>
      </c>
      <c r="M10" s="16" t="str">
        <f aca="false">IFERROR(INDEX('Reference Data'!$E$31:$E$45,MATCH($C10&amp;"|"&amp;$H10,'Reference Data'!$F$31:$F$45,0)),"N/A")</f>
        <v>N/A</v>
      </c>
      <c r="N10" s="16" t="str">
        <f aca="false">IF(I10="Air",M10,IF(I10="Sea",L10,"N/A"))</f>
        <v>N/A</v>
      </c>
      <c r="O10" s="17" t="str">
        <f aca="false">IF(ISNUMBER(SEARCH("delayed",G10)),"High Risk",IF(ISNUMBER(SEARCH("Unconfirmed",G10)),"High Risk",IF(ISNUMBER(SEARCH("Completed",G10)),"Medium Risk",IF(ISNUMBER(SEARCH("on track",G10)),"Low Risk","Review"))))</f>
        <v>High Risk</v>
      </c>
      <c r="P10" s="17" t="str">
        <f aca="false">IF(H10="UK","Yes","No")</f>
        <v>No</v>
      </c>
    </row>
    <row r="11" customFormat="false" ht="15" hidden="false" customHeight="false" outlineLevel="0" collapsed="false">
      <c r="A11" s="12" t="s">
        <v>72</v>
      </c>
      <c r="B11" s="12" t="s">
        <v>73</v>
      </c>
      <c r="C11" s="9" t="str">
        <f aca="false">IFERROR(INDEX('Reference Data'!$B$22:$B$27,MATCH(B11,'Reference Data'!$A$22:$A$27,0)),"N/A")</f>
        <v>Ho Chi Minh City</v>
      </c>
      <c r="D11" s="12" t="s">
        <v>74</v>
      </c>
      <c r="E11" s="9" t="str">
        <f aca="false">IFERROR(INDEX('Reference Data'!$B$10:$B$18,MATCH(D11,'Reference Data'!$A$10:$A$18,0)),"N/A")</f>
        <v>Bath Crystals 400g</v>
      </c>
      <c r="F11" s="13" t="n">
        <v>500</v>
      </c>
      <c r="G11" s="12" t="s">
        <v>49</v>
      </c>
      <c r="H11" s="14" t="s">
        <v>55</v>
      </c>
      <c r="I11" s="14" t="s">
        <v>51</v>
      </c>
      <c r="J11" s="12" t="s">
        <v>75</v>
      </c>
      <c r="K11" s="15" t="n">
        <v>6</v>
      </c>
      <c r="L11" s="16" t="n">
        <f aca="false">IFERROR(INDEX('Reference Data'!$C$31:$C$45,MATCH($C11&amp;"|"&amp;$H11,'Reference Data'!$F$31:$F$45,0)),"N/A")</f>
        <v>3.5</v>
      </c>
      <c r="M11" s="16" t="n">
        <f aca="false">IFERROR(INDEX('Reference Data'!$E$31:$E$45,MATCH($C11&amp;"|"&amp;$H11,'Reference Data'!$F$31:$F$45,0)),"N/A")</f>
        <v>0.714285714285714</v>
      </c>
      <c r="N11" s="16" t="n">
        <f aca="false">IF(I11="Air",M11,IF(I11="Sea",L11,"N/A"))</f>
        <v>3.5</v>
      </c>
      <c r="O11" s="17" t="str">
        <f aca="false">IF(ISNUMBER(SEARCH("delayed",G11)),"High Risk",IF(ISNUMBER(SEARCH("Unconfirmed",G11)),"High Risk",IF(ISNUMBER(SEARCH("Completed",G11)),"Medium Risk",IF(ISNUMBER(SEARCH("on track",G11)),"Low Risk","Review"))))</f>
        <v>Low Risk</v>
      </c>
      <c r="P11" s="17" t="str">
        <f aca="false">IF(H11="UK","Yes","No")</f>
        <v>No</v>
      </c>
    </row>
    <row r="12" customFormat="false" ht="15" hidden="false" customHeight="false" outlineLevel="0" collapsed="false">
      <c r="A12" s="18" t="s">
        <v>76</v>
      </c>
      <c r="B12" s="19"/>
      <c r="C12" s="19"/>
      <c r="D12" s="19"/>
      <c r="E12" s="19"/>
      <c r="F12" s="20" t="n">
        <f aca="false">SUM(F6:F11)</f>
        <v>3000</v>
      </c>
      <c r="G12" s="19"/>
      <c r="H12" s="19"/>
      <c r="I12" s="19"/>
      <c r="J12" s="19"/>
      <c r="K12" s="19"/>
      <c r="L12" s="19"/>
      <c r="M12" s="19"/>
      <c r="N12" s="19"/>
      <c r="O12" s="19"/>
      <c r="P12" s="19"/>
    </row>
    <row r="14" customFormat="false" ht="15" hidden="false" customHeight="false" outlineLevel="0" collapsed="false">
      <c r="A14" s="21" t="s">
        <v>77</v>
      </c>
    </row>
    <row r="15" customFormat="false" ht="15" hidden="false" customHeight="true" outlineLevel="0" collapsed="false">
      <c r="A15" s="22" t="s">
        <v>78</v>
      </c>
      <c r="B15" s="22"/>
      <c r="C15" s="22"/>
      <c r="D15" s="22"/>
      <c r="E15" s="22"/>
      <c r="F15" s="22"/>
      <c r="G15" s="22"/>
      <c r="H15" s="22"/>
      <c r="I15" s="22"/>
      <c r="J15" s="22"/>
      <c r="K15" s="22"/>
      <c r="L15" s="22"/>
      <c r="M15" s="22"/>
      <c r="N15" s="22"/>
      <c r="O15" s="22"/>
      <c r="P15" s="22"/>
    </row>
    <row r="16" customFormat="false" ht="15" hidden="false" customHeight="true" outlineLevel="0" collapsed="false">
      <c r="A16" s="22" t="s">
        <v>79</v>
      </c>
      <c r="B16" s="22"/>
      <c r="C16" s="22"/>
      <c r="D16" s="22"/>
      <c r="E16" s="22"/>
      <c r="F16" s="22"/>
      <c r="G16" s="22"/>
      <c r="H16" s="22"/>
      <c r="I16" s="22"/>
      <c r="J16" s="22"/>
      <c r="K16" s="22"/>
      <c r="L16" s="22"/>
      <c r="M16" s="22"/>
      <c r="N16" s="22"/>
      <c r="O16" s="22"/>
      <c r="P16" s="22"/>
    </row>
    <row r="17" customFormat="false" ht="15" hidden="false" customHeight="true" outlineLevel="0" collapsed="false">
      <c r="A17" s="22" t="s">
        <v>80</v>
      </c>
      <c r="B17" s="22"/>
      <c r="C17" s="22"/>
      <c r="D17" s="22"/>
      <c r="E17" s="22"/>
      <c r="F17" s="22"/>
      <c r="G17" s="22"/>
      <c r="H17" s="22"/>
      <c r="I17" s="22"/>
      <c r="J17" s="22"/>
      <c r="K17" s="22"/>
      <c r="L17" s="22"/>
      <c r="M17" s="22"/>
      <c r="N17" s="22"/>
      <c r="O17" s="22"/>
      <c r="P17" s="22"/>
    </row>
    <row r="18" customFormat="false" ht="15" hidden="false" customHeight="true" outlineLevel="0" collapsed="false">
      <c r="A18" s="22" t="s">
        <v>81</v>
      </c>
      <c r="B18" s="22"/>
      <c r="C18" s="22"/>
      <c r="D18" s="22"/>
      <c r="E18" s="22"/>
      <c r="F18" s="22"/>
      <c r="G18" s="22"/>
      <c r="H18" s="22"/>
      <c r="I18" s="22"/>
      <c r="J18" s="22"/>
      <c r="K18" s="22"/>
      <c r="L18" s="22"/>
      <c r="M18" s="22"/>
      <c r="N18" s="22"/>
      <c r="O18" s="22"/>
      <c r="P18" s="22"/>
    </row>
  </sheetData>
  <mergeCells count="6">
    <mergeCell ref="A1:P1"/>
    <mergeCell ref="A3:P3"/>
    <mergeCell ref="A15:P15"/>
    <mergeCell ref="A16:P16"/>
    <mergeCell ref="A17:P17"/>
    <mergeCell ref="A18:P18"/>
  </mergeCells>
  <conditionalFormatting sqref="O6:O11">
    <cfRule type="cellIs" priority="2" operator="equal" aboveAverage="0" equalAverage="0" bottom="0" percent="0" rank="0" text="" dxfId="0">
      <formula>"High Risk"</formula>
    </cfRule>
    <cfRule type="cellIs" priority="3" operator="equal" aboveAverage="0" equalAverage="0" bottom="0" percent="0" rank="0" text="" dxfId="2">
      <formula>"Medium Risk"</formula>
    </cfRule>
    <cfRule type="cellIs" priority="4" operator="equal" aboveAverage="0" equalAverage="0" bottom="0" percent="0" rank="0" text="" dxfId="1">
      <formula>"Low Risk"</formula>
    </cfRule>
  </conditionalFormatting>
  <conditionalFormatting sqref="P6:P11">
    <cfRule type="cellIs" priority="5" operator="equal" aboveAverage="0" equalAverage="0" bottom="0" percent="0" rank="0" text="" dxfId="3">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O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3" min="3" style="0" width="11"/>
    <col collapsed="false" customWidth="true" hidden="false" outlineLevel="0" max="4" min="4" style="0" width="13"/>
    <col collapsed="false" customWidth="true" hidden="false" outlineLevel="0" max="5" min="5" style="0" width="10"/>
    <col collapsed="false" customWidth="true" hidden="false" outlineLevel="0" max="6" min="6" style="0" width="12"/>
    <col collapsed="false" customWidth="true" hidden="false" outlineLevel="0" max="7" min="7" style="0" width="9"/>
    <col collapsed="false" customWidth="true" hidden="false" outlineLevel="0" max="8" min="8" style="0" width="10"/>
    <col collapsed="false" customWidth="true" hidden="false" outlineLevel="0" max="15" min="9" style="0" width="12"/>
  </cols>
  <sheetData>
    <row r="1" customFormat="false" ht="25.5" hidden="false" customHeight="true" outlineLevel="0" collapsed="false">
      <c r="A1" s="1" t="s">
        <v>82</v>
      </c>
      <c r="B1" s="1"/>
      <c r="C1" s="1"/>
      <c r="D1" s="1"/>
      <c r="E1" s="1"/>
      <c r="F1" s="1"/>
      <c r="G1" s="1"/>
      <c r="H1" s="1"/>
      <c r="I1" s="1"/>
      <c r="J1" s="1"/>
      <c r="K1" s="1"/>
      <c r="L1" s="1"/>
      <c r="M1" s="1"/>
      <c r="N1" s="1"/>
      <c r="O1" s="1"/>
    </row>
    <row r="3" customFormat="false" ht="15" hidden="false" customHeight="false" outlineLevel="0" collapsed="false">
      <c r="A3" s="21" t="s">
        <v>83</v>
      </c>
    </row>
    <row r="4" customFormat="false" ht="15" hidden="false" customHeight="false" outlineLevel="0" collapsed="false">
      <c r="A4" s="23" t="s">
        <v>84</v>
      </c>
      <c r="B4" s="24" t="n">
        <v>4</v>
      </c>
    </row>
    <row r="5" customFormat="false" ht="15" hidden="false" customHeight="false" outlineLevel="0" collapsed="false">
      <c r="A5" s="23" t="s">
        <v>85</v>
      </c>
      <c r="B5" s="24" t="n">
        <v>8</v>
      </c>
      <c r="C5" s="25" t="s">
        <v>86</v>
      </c>
    </row>
    <row r="7" customFormat="false" ht="30" hidden="false" customHeight="true" outlineLevel="0" collapsed="false">
      <c r="A7" s="8" t="s">
        <v>33</v>
      </c>
      <c r="B7" s="8" t="s">
        <v>34</v>
      </c>
      <c r="C7" s="8" t="s">
        <v>87</v>
      </c>
      <c r="D7" s="8" t="s">
        <v>88</v>
      </c>
      <c r="E7" s="8" t="s">
        <v>89</v>
      </c>
      <c r="F7" s="8" t="s">
        <v>90</v>
      </c>
      <c r="G7" s="8" t="s">
        <v>91</v>
      </c>
      <c r="H7" s="8" t="s">
        <v>92</v>
      </c>
      <c r="I7" s="8" t="s">
        <v>93</v>
      </c>
      <c r="J7" s="8" t="s">
        <v>94</v>
      </c>
      <c r="K7" s="8" t="s">
        <v>95</v>
      </c>
      <c r="L7" s="8" t="s">
        <v>96</v>
      </c>
      <c r="M7" s="8" t="s">
        <v>97</v>
      </c>
      <c r="N7" s="8" t="s">
        <v>98</v>
      </c>
      <c r="O7" s="8" t="s">
        <v>99</v>
      </c>
    </row>
    <row r="8" customFormat="false" ht="15" hidden="false" customHeight="false" outlineLevel="0" collapsed="false">
      <c r="A8" s="12" t="s">
        <v>48</v>
      </c>
      <c r="B8" s="9" t="str">
        <f aca="false">IFERROR(INDEX('Reference Data'!$B$10:$B$18,MATCH($A8,'Reference Data'!$A$10:$A$18,0)),"N/A")</f>
        <v>Recovery Balm 300ml</v>
      </c>
      <c r="C8" s="9" t="str">
        <f aca="false">IFERROR(INDEX('Reference Data'!$C$10:$C$18,MATCH($A8,'Reference Data'!$A$10:$A$18,0)),"N/A")</f>
        <v>Body Care</v>
      </c>
      <c r="D8" s="9" t="str">
        <f aca="false">IFERROR(INDEX('Reference Data'!$D$10:$D$18,MATCH($A8,'Reference Data'!$A$10:$A$18,0)),"N/A")</f>
        <v>Factory A</v>
      </c>
      <c r="E8" s="13" t="n">
        <v>220</v>
      </c>
      <c r="F8" s="13" t="n">
        <v>35</v>
      </c>
      <c r="G8" s="13" t="n">
        <v>110</v>
      </c>
      <c r="H8" s="26" t="n">
        <f aca="false">SUM(E8:G8)</f>
        <v>365</v>
      </c>
      <c r="I8" s="13" t="n">
        <v>75</v>
      </c>
      <c r="J8" s="27" t="n">
        <f aca="false">IFERROR(H8/I8,"N/A")</f>
        <v>4.86666666666667</v>
      </c>
      <c r="K8" s="17" t="str">
        <f aca="false">IF(J8&lt;$B$4,"High Risk",IF(J8&lt;$B$5,"Medium Risk","Low Risk"))</f>
        <v>Medium Risk</v>
      </c>
      <c r="L8" s="27" t="n">
        <f aca="false">IFERROR(F8/I8,"N/A")</f>
        <v>0.466666666666667</v>
      </c>
      <c r="M8" s="17" t="str">
        <f aca="false">IF(L8&lt;$B$4,"High Risk",IF(L8&lt;$B$5,"Medium Risk","Low Risk"))</f>
        <v>High Risk</v>
      </c>
      <c r="N8" s="26" t="n">
        <f aca="false">SUMIF('Purchase Orders'!$D$6:$D$11,$A8,'Purchase Orders'!$F$6:$F$11)</f>
        <v>500</v>
      </c>
      <c r="O8" s="26" t="n">
        <f aca="false">SUMIFS('Purchase Orders'!$F$6:$F$11,'Purchase Orders'!$D$6:$D$11,$A8,'Purchase Orders'!$H$6:$H$11,"UK")</f>
        <v>0</v>
      </c>
    </row>
    <row r="9" customFormat="false" ht="15" hidden="false" customHeight="false" outlineLevel="0" collapsed="false">
      <c r="A9" s="12" t="s">
        <v>100</v>
      </c>
      <c r="B9" s="9" t="str">
        <f aca="false">IFERROR(INDEX('Reference Data'!$B$10:$B$18,MATCH($A9,'Reference Data'!$A$10:$A$18,0)),"N/A")</f>
        <v>Face Serum 50ml</v>
      </c>
      <c r="C9" s="9" t="str">
        <f aca="false">IFERROR(INDEX('Reference Data'!$C$10:$C$18,MATCH($A9,'Reference Data'!$A$10:$A$18,0)),"N/A")</f>
        <v>Skincare</v>
      </c>
      <c r="D9" s="9" t="str">
        <f aca="false">IFERROR(INDEX('Reference Data'!$D$10:$D$18,MATCH($A9,'Reference Data'!$A$10:$A$18,0)),"N/A")</f>
        <v>Factory A</v>
      </c>
      <c r="E9" s="13" t="n">
        <v>150</v>
      </c>
      <c r="F9" s="13" t="n">
        <v>20</v>
      </c>
      <c r="G9" s="13" t="n">
        <v>75</v>
      </c>
      <c r="H9" s="26" t="n">
        <f aca="false">SUM(E9:G9)</f>
        <v>245</v>
      </c>
      <c r="I9" s="13" t="n">
        <v>45</v>
      </c>
      <c r="J9" s="27" t="n">
        <f aca="false">IFERROR(H9/I9,"N/A")</f>
        <v>5.44444444444445</v>
      </c>
      <c r="K9" s="17" t="str">
        <f aca="false">IF(J9&lt;$B$4,"High Risk",IF(J9&lt;$B$5,"Medium Risk","Low Risk"))</f>
        <v>Medium Risk</v>
      </c>
      <c r="L9" s="27" t="n">
        <f aca="false">IFERROR(F9/I9,"N/A")</f>
        <v>0.444444444444444</v>
      </c>
      <c r="M9" s="17" t="str">
        <f aca="false">IF(L9&lt;$B$4,"High Risk",IF(L9&lt;$B$5,"Medium Risk","Low Risk"))</f>
        <v>High Risk</v>
      </c>
      <c r="N9" s="26" t="n">
        <f aca="false">SUMIF('Purchase Orders'!$D$6:$D$11,$A9,'Purchase Orders'!$F$6:$F$11)</f>
        <v>0</v>
      </c>
      <c r="O9" s="26" t="n">
        <f aca="false">SUMIFS('Purchase Orders'!$F$6:$F$11,'Purchase Orders'!$D$6:$D$11,$A9,'Purchase Orders'!$H$6:$H$11,"UK")</f>
        <v>0</v>
      </c>
    </row>
    <row r="10" customFormat="false" ht="15" hidden="false" customHeight="false" outlineLevel="0" collapsed="false">
      <c r="A10" s="12" t="s">
        <v>101</v>
      </c>
      <c r="B10" s="9" t="str">
        <f aca="false">IFERROR(INDEX('Reference Data'!$B$10:$B$18,MATCH($A10,'Reference Data'!$A$10:$A$18,0)),"N/A")</f>
        <v>Body Wash 200ml</v>
      </c>
      <c r="C10" s="9" t="str">
        <f aca="false">IFERROR(INDEX('Reference Data'!$C$10:$C$18,MATCH($A10,'Reference Data'!$A$10:$A$18,0)),"N/A")</f>
        <v>Body Care</v>
      </c>
      <c r="D10" s="9" t="str">
        <f aca="false">IFERROR(INDEX('Reference Data'!$D$10:$D$18,MATCH($A10,'Reference Data'!$A$10:$A$18,0)),"N/A")</f>
        <v>Factory B</v>
      </c>
      <c r="E10" s="13" t="n">
        <v>180</v>
      </c>
      <c r="F10" s="13" t="n">
        <v>50</v>
      </c>
      <c r="G10" s="13" t="n">
        <v>60</v>
      </c>
      <c r="H10" s="26" t="n">
        <f aca="false">SUM(E10:G10)</f>
        <v>290</v>
      </c>
      <c r="I10" s="13" t="n">
        <v>55</v>
      </c>
      <c r="J10" s="27" t="n">
        <f aca="false">IFERROR(H10/I10,"N/A")</f>
        <v>5.27272727272727</v>
      </c>
      <c r="K10" s="17" t="str">
        <f aca="false">IF(J10&lt;$B$4,"High Risk",IF(J10&lt;$B$5,"Medium Risk","Low Risk"))</f>
        <v>Medium Risk</v>
      </c>
      <c r="L10" s="27" t="n">
        <f aca="false">IFERROR(F10/I10,"N/A")</f>
        <v>0.909090909090909</v>
      </c>
      <c r="M10" s="17" t="str">
        <f aca="false">IF(L10&lt;$B$4,"High Risk",IF(L10&lt;$B$5,"Medium Risk","Low Risk"))</f>
        <v>High Risk</v>
      </c>
      <c r="N10" s="26" t="n">
        <f aca="false">SUMIF('Purchase Orders'!$D$6:$D$11,$A10,'Purchase Orders'!$F$6:$F$11)</f>
        <v>0</v>
      </c>
      <c r="O10" s="26" t="n">
        <f aca="false">SUMIFS('Purchase Orders'!$F$6:$F$11,'Purchase Orders'!$D$6:$D$11,$A10,'Purchase Orders'!$H$6:$H$11,"UK")</f>
        <v>0</v>
      </c>
    </row>
    <row r="11" customFormat="false" ht="15" hidden="false" customHeight="false" outlineLevel="0" collapsed="false">
      <c r="A11" s="12" t="s">
        <v>59</v>
      </c>
      <c r="B11" s="9" t="str">
        <f aca="false">IFERROR(INDEX('Reference Data'!$B$10:$B$18,MATCH($A11,'Reference Data'!$A$10:$A$18,0)),"N/A")</f>
        <v>Hair Mask 100ml</v>
      </c>
      <c r="C11" s="9" t="str">
        <f aca="false">IFERROR(INDEX('Reference Data'!$C$10:$C$18,MATCH($A11,'Reference Data'!$A$10:$A$18,0)),"N/A")</f>
        <v>Hair Care</v>
      </c>
      <c r="D11" s="9" t="str">
        <f aca="false">IFERROR(INDEX('Reference Data'!$D$10:$D$18,MATCH($A11,'Reference Data'!$A$10:$A$18,0)),"N/A")</f>
        <v>Factory C</v>
      </c>
      <c r="E11" s="13" t="n">
        <v>90</v>
      </c>
      <c r="F11" s="13" t="n">
        <v>25</v>
      </c>
      <c r="G11" s="13" t="n">
        <v>45</v>
      </c>
      <c r="H11" s="26" t="n">
        <f aca="false">SUM(E11:G11)</f>
        <v>160</v>
      </c>
      <c r="I11" s="13" t="n">
        <v>30</v>
      </c>
      <c r="J11" s="27" t="n">
        <f aca="false">IFERROR(H11/I11,"N/A")</f>
        <v>5.33333333333333</v>
      </c>
      <c r="K11" s="17" t="str">
        <f aca="false">IF(J11&lt;$B$4,"High Risk",IF(J11&lt;$B$5,"Medium Risk","Low Risk"))</f>
        <v>Medium Risk</v>
      </c>
      <c r="L11" s="27" t="n">
        <f aca="false">IFERROR(F11/I11,"N/A")</f>
        <v>0.833333333333333</v>
      </c>
      <c r="M11" s="17" t="str">
        <f aca="false">IF(L11&lt;$B$4,"High Risk",IF(L11&lt;$B$5,"Medium Risk","Low Risk"))</f>
        <v>High Risk</v>
      </c>
      <c r="N11" s="26" t="n">
        <f aca="false">SUMIF('Purchase Orders'!$D$6:$D$11,$A11,'Purchase Orders'!$F$6:$F$11)</f>
        <v>300</v>
      </c>
      <c r="O11" s="26" t="n">
        <f aca="false">SUMIFS('Purchase Orders'!$F$6:$F$11,'Purchase Orders'!$D$6:$D$11,$A11,'Purchase Orders'!$H$6:$H$11,"UK")</f>
        <v>0</v>
      </c>
    </row>
    <row r="12" customFormat="false" ht="15" hidden="false" customHeight="false" outlineLevel="0" collapsed="false">
      <c r="A12" s="12" t="s">
        <v>65</v>
      </c>
      <c r="B12" s="9" t="str">
        <f aca="false">IFERROR(INDEX('Reference Data'!$B$10:$B$18,MATCH($A12,'Reference Data'!$A$10:$A$18,0)),"N/A")</f>
        <v>Lip Balm 3-Pack</v>
      </c>
      <c r="C12" s="9" t="str">
        <f aca="false">IFERROR(INDEX('Reference Data'!$C$10:$C$18,MATCH($A12,'Reference Data'!$A$10:$A$18,0)),"N/A")</f>
        <v>Skincare</v>
      </c>
      <c r="D12" s="9" t="str">
        <f aca="false">IFERROR(INDEX('Reference Data'!$D$10:$D$18,MATCH($A12,'Reference Data'!$A$10:$A$18,0)),"N/A")</f>
        <v>Factory D</v>
      </c>
      <c r="E12" s="13" t="n">
        <v>300</v>
      </c>
      <c r="F12" s="13" t="n">
        <v>40</v>
      </c>
      <c r="G12" s="13" t="n">
        <v>80</v>
      </c>
      <c r="H12" s="26" t="n">
        <f aca="false">SUM(E12:G12)</f>
        <v>420</v>
      </c>
      <c r="I12" s="13" t="n">
        <v>60</v>
      </c>
      <c r="J12" s="27" t="n">
        <f aca="false">IFERROR(H12/I12,"N/A")</f>
        <v>7</v>
      </c>
      <c r="K12" s="17" t="str">
        <f aca="false">IF(J12&lt;$B$4,"High Risk",IF(J12&lt;$B$5,"Medium Risk","Low Risk"))</f>
        <v>Medium Risk</v>
      </c>
      <c r="L12" s="27" t="n">
        <f aca="false">IFERROR(F12/I12,"N/A")</f>
        <v>0.666666666666667</v>
      </c>
      <c r="M12" s="17" t="str">
        <f aca="false">IF(L12&lt;$B$4,"High Risk",IF(L12&lt;$B$5,"Medium Risk","Low Risk"))</f>
        <v>High Risk</v>
      </c>
      <c r="N12" s="26" t="n">
        <f aca="false">SUMIF('Purchase Orders'!$D$6:$D$11,$A12,'Purchase Orders'!$F$6:$F$11)</f>
        <v>1000</v>
      </c>
      <c r="O12" s="26" t="n">
        <f aca="false">SUMIFS('Purchase Orders'!$F$6:$F$11,'Purchase Orders'!$D$6:$D$11,$A12,'Purchase Orders'!$H$6:$H$11,"UK")</f>
        <v>0</v>
      </c>
    </row>
    <row r="13" customFormat="false" ht="15" hidden="false" customHeight="false" outlineLevel="0" collapsed="false">
      <c r="A13" s="12" t="s">
        <v>102</v>
      </c>
      <c r="B13" s="9" t="str">
        <f aca="false">IFERROR(INDEX('Reference Data'!$B$10:$B$18,MATCH($A13,'Reference Data'!$A$10:$A$18,0)),"N/A")</f>
        <v>Scalp Mist 150ml</v>
      </c>
      <c r="C13" s="9" t="str">
        <f aca="false">IFERROR(INDEX('Reference Data'!$C$10:$C$18,MATCH($A13,'Reference Data'!$A$10:$A$18,0)),"N/A")</f>
        <v>Hair Care</v>
      </c>
      <c r="D13" s="9" t="str">
        <f aca="false">IFERROR(INDEX('Reference Data'!$D$10:$D$18,MATCH($A13,'Reference Data'!$A$10:$A$18,0)),"N/A")</f>
        <v>Factory C</v>
      </c>
      <c r="E13" s="13" t="n">
        <v>70</v>
      </c>
      <c r="F13" s="13" t="n">
        <v>10</v>
      </c>
      <c r="G13" s="13" t="n">
        <v>30</v>
      </c>
      <c r="H13" s="26" t="n">
        <f aca="false">SUM(E13:G13)</f>
        <v>110</v>
      </c>
      <c r="I13" s="13" t="n">
        <v>20</v>
      </c>
      <c r="J13" s="27" t="n">
        <f aca="false">IFERROR(H13/I13,"N/A")</f>
        <v>5.5</v>
      </c>
      <c r="K13" s="17" t="str">
        <f aca="false">IF(J13&lt;$B$4,"High Risk",IF(J13&lt;$B$5,"Medium Risk","Low Risk"))</f>
        <v>Medium Risk</v>
      </c>
      <c r="L13" s="27" t="n">
        <f aca="false">IFERROR(F13/I13,"N/A")</f>
        <v>0.5</v>
      </c>
      <c r="M13" s="17" t="str">
        <f aca="false">IF(L13&lt;$B$4,"High Risk",IF(L13&lt;$B$5,"Medium Risk","Low Risk"))</f>
        <v>High Risk</v>
      </c>
      <c r="N13" s="26" t="n">
        <f aca="false">SUMIF('Purchase Orders'!$D$6:$D$11,$A13,'Purchase Orders'!$F$6:$F$11)</f>
        <v>0</v>
      </c>
      <c r="O13" s="26" t="n">
        <f aca="false">SUMIFS('Purchase Orders'!$F$6:$F$11,'Purchase Orders'!$D$6:$D$11,$A13,'Purchase Orders'!$H$6:$H$11,"UK")</f>
        <v>0</v>
      </c>
    </row>
    <row r="14" customFormat="false" ht="15" hidden="false" customHeight="false" outlineLevel="0" collapsed="false">
      <c r="A14" s="12" t="s">
        <v>70</v>
      </c>
      <c r="B14" s="9" t="str">
        <f aca="false">IFERROR(INDEX('Reference Data'!$B$10:$B$18,MATCH($A14,'Reference Data'!$A$10:$A$18,0)),"N/A")</f>
        <v>Essential Oil Blend 30ml</v>
      </c>
      <c r="C14" s="9" t="str">
        <f aca="false">IFERROR(INDEX('Reference Data'!$C$10:$C$18,MATCH($A14,'Reference Data'!$A$10:$A$18,0)),"N/A")</f>
        <v>Wellness</v>
      </c>
      <c r="D14" s="9" t="str">
        <f aca="false">IFERROR(INDEX('Reference Data'!$D$10:$D$18,MATCH($A14,'Reference Data'!$A$10:$A$18,0)),"N/A")</f>
        <v>Factory E</v>
      </c>
      <c r="E14" s="13" t="n">
        <v>45</v>
      </c>
      <c r="F14" s="13" t="n">
        <v>8</v>
      </c>
      <c r="G14" s="13" t="n">
        <v>20</v>
      </c>
      <c r="H14" s="26" t="n">
        <f aca="false">SUM(E14:G14)</f>
        <v>73</v>
      </c>
      <c r="I14" s="13" t="n">
        <v>15</v>
      </c>
      <c r="J14" s="27" t="n">
        <f aca="false">IFERROR(H14/I14,"N/A")</f>
        <v>4.86666666666667</v>
      </c>
      <c r="K14" s="17" t="str">
        <f aca="false">IF(J14&lt;$B$4,"High Risk",IF(J14&lt;$B$5,"Medium Risk","Low Risk"))</f>
        <v>Medium Risk</v>
      </c>
      <c r="L14" s="27" t="n">
        <f aca="false">IFERROR(F14/I14,"N/A")</f>
        <v>0.533333333333333</v>
      </c>
      <c r="M14" s="17" t="str">
        <f aca="false">IF(L14&lt;$B$4,"High Risk",IF(L14&lt;$B$5,"Medium Risk","Low Risk"))</f>
        <v>High Risk</v>
      </c>
      <c r="N14" s="26" t="n">
        <f aca="false">SUMIF('Purchase Orders'!$D$6:$D$11,$A14,'Purchase Orders'!$F$6:$F$11)</f>
        <v>200</v>
      </c>
      <c r="O14" s="26" t="n">
        <f aca="false">SUMIFS('Purchase Orders'!$F$6:$F$11,'Purchase Orders'!$D$6:$D$11,$A14,'Purchase Orders'!$H$6:$H$11,"UK")</f>
        <v>0</v>
      </c>
    </row>
    <row r="15" customFormat="false" ht="15" hidden="false" customHeight="false" outlineLevel="0" collapsed="false">
      <c r="A15" s="12" t="s">
        <v>74</v>
      </c>
      <c r="B15" s="9" t="str">
        <f aca="false">IFERROR(INDEX('Reference Data'!$B$10:$B$18,MATCH($A15,'Reference Data'!$A$10:$A$18,0)),"N/A")</f>
        <v>Bath Crystals 400g</v>
      </c>
      <c r="C15" s="9" t="str">
        <f aca="false">IFERROR(INDEX('Reference Data'!$C$10:$C$18,MATCH($A15,'Reference Data'!$A$10:$A$18,0)),"N/A")</f>
        <v>Body Care</v>
      </c>
      <c r="D15" s="9" t="str">
        <f aca="false">IFERROR(INDEX('Reference Data'!$D$10:$D$18,MATCH($A15,'Reference Data'!$A$10:$A$18,0)),"N/A")</f>
        <v>Factory F</v>
      </c>
      <c r="E15" s="13" t="n">
        <v>60</v>
      </c>
      <c r="F15" s="13" t="n">
        <v>15</v>
      </c>
      <c r="G15" s="13" t="n">
        <v>25</v>
      </c>
      <c r="H15" s="26" t="n">
        <f aca="false">SUM(E15:G15)</f>
        <v>100</v>
      </c>
      <c r="I15" s="13" t="n">
        <v>25</v>
      </c>
      <c r="J15" s="27" t="n">
        <f aca="false">IFERROR(H15/I15,"N/A")</f>
        <v>4</v>
      </c>
      <c r="K15" s="17" t="str">
        <f aca="false">IF(J15&lt;$B$4,"High Risk",IF(J15&lt;$B$5,"Medium Risk","Low Risk"))</f>
        <v>Medium Risk</v>
      </c>
      <c r="L15" s="27" t="n">
        <f aca="false">IFERROR(F15/I15,"N/A")</f>
        <v>0.6</v>
      </c>
      <c r="M15" s="17" t="str">
        <f aca="false">IF(L15&lt;$B$4,"High Risk",IF(L15&lt;$B$5,"Medium Risk","Low Risk"))</f>
        <v>High Risk</v>
      </c>
      <c r="N15" s="26" t="n">
        <f aca="false">SUMIF('Purchase Orders'!$D$6:$D$11,$A15,'Purchase Orders'!$F$6:$F$11)</f>
        <v>500</v>
      </c>
      <c r="O15" s="26" t="n">
        <f aca="false">SUMIFS('Purchase Orders'!$F$6:$F$11,'Purchase Orders'!$D$6:$D$11,$A15,'Purchase Orders'!$H$6:$H$11,"UK")</f>
        <v>0</v>
      </c>
    </row>
    <row r="16" customFormat="false" ht="15" hidden="false" customHeight="false" outlineLevel="0" collapsed="false">
      <c r="A16" s="12" t="s">
        <v>54</v>
      </c>
      <c r="B16" s="9" t="str">
        <f aca="false">IFERROR(INDEX('Reference Data'!$B$10:$B$18,MATCH($A16,'Reference Data'!$A$10:$A$18,0)),"N/A")</f>
        <v>Night Cream 75ml</v>
      </c>
      <c r="C16" s="9" t="str">
        <f aca="false">IFERROR(INDEX('Reference Data'!$C$10:$C$18,MATCH($A16,'Reference Data'!$A$10:$A$18,0)),"N/A")</f>
        <v>Skincare</v>
      </c>
      <c r="D16" s="9" t="str">
        <f aca="false">IFERROR(INDEX('Reference Data'!$D$10:$D$18,MATCH($A16,'Reference Data'!$A$10:$A$18,0)),"N/A")</f>
        <v>Factory A</v>
      </c>
      <c r="E16" s="13" t="n">
        <v>130</v>
      </c>
      <c r="F16" s="13" t="n">
        <v>18</v>
      </c>
      <c r="G16" s="13" t="n">
        <v>55</v>
      </c>
      <c r="H16" s="26" t="n">
        <f aca="false">SUM(E16:G16)</f>
        <v>203</v>
      </c>
      <c r="I16" s="13" t="n">
        <v>40</v>
      </c>
      <c r="J16" s="27" t="n">
        <f aca="false">IFERROR(H16/I16,"N/A")</f>
        <v>5.075</v>
      </c>
      <c r="K16" s="17" t="str">
        <f aca="false">IF(J16&lt;$B$4,"High Risk",IF(J16&lt;$B$5,"Medium Risk","Low Risk"))</f>
        <v>Medium Risk</v>
      </c>
      <c r="L16" s="27" t="n">
        <f aca="false">IFERROR(F16/I16,"N/A")</f>
        <v>0.45</v>
      </c>
      <c r="M16" s="17" t="str">
        <f aca="false">IF(L16&lt;$B$4,"High Risk",IF(L16&lt;$B$5,"Medium Risk","Low Risk"))</f>
        <v>High Risk</v>
      </c>
      <c r="N16" s="26" t="n">
        <f aca="false">SUMIF('Purchase Orders'!$D$6:$D$11,$A16,'Purchase Orders'!$F$6:$F$11)</f>
        <v>500</v>
      </c>
      <c r="O16" s="26" t="n">
        <f aca="false">SUMIFS('Purchase Orders'!$F$6:$F$11,'Purchase Orders'!$D$6:$D$11,$A16,'Purchase Orders'!$H$6:$H$11,"UK")</f>
        <v>0</v>
      </c>
    </row>
    <row r="17" customFormat="false" ht="15" hidden="false" customHeight="false" outlineLevel="0" collapsed="false">
      <c r="A17" s="18" t="s">
        <v>76</v>
      </c>
      <c r="B17" s="19"/>
      <c r="C17" s="19"/>
      <c r="D17" s="19"/>
      <c r="E17" s="26" t="n">
        <f aca="false">SUM(E8:E16)</f>
        <v>1245</v>
      </c>
      <c r="F17" s="26" t="n">
        <f aca="false">SUM(F8:F16)</f>
        <v>221</v>
      </c>
      <c r="G17" s="26" t="n">
        <f aca="false">SUM(G8:G16)</f>
        <v>500</v>
      </c>
      <c r="H17" s="26" t="n">
        <f aca="false">SUM(H8:H16)</f>
        <v>1966</v>
      </c>
      <c r="I17" s="19"/>
      <c r="J17" s="19"/>
      <c r="K17" s="19"/>
      <c r="L17" s="19"/>
      <c r="M17" s="19"/>
      <c r="N17" s="26" t="n">
        <f aca="false">SUM(N8:N16)</f>
        <v>3000</v>
      </c>
      <c r="O17" s="26" t="n">
        <f aca="false">SUM(O8:O16)</f>
        <v>0</v>
      </c>
    </row>
    <row r="19" customFormat="false" ht="15" hidden="false" customHeight="false" outlineLevel="0" collapsed="false">
      <c r="A19" s="21" t="s">
        <v>77</v>
      </c>
    </row>
    <row r="20" customFormat="false" ht="15" hidden="false" customHeight="true" outlineLevel="0" collapsed="false">
      <c r="A20" s="22" t="s">
        <v>103</v>
      </c>
      <c r="B20" s="22"/>
      <c r="C20" s="22"/>
      <c r="D20" s="22"/>
      <c r="E20" s="22"/>
      <c r="F20" s="22"/>
      <c r="G20" s="22"/>
      <c r="H20" s="22"/>
      <c r="I20" s="22"/>
      <c r="J20" s="22"/>
      <c r="K20" s="22"/>
      <c r="L20" s="22"/>
      <c r="M20" s="22"/>
      <c r="N20" s="22"/>
      <c r="O20" s="22"/>
    </row>
    <row r="21" customFormat="false" ht="22.35" hidden="false" customHeight="true" outlineLevel="0" collapsed="false">
      <c r="A21" s="22" t="s">
        <v>104</v>
      </c>
      <c r="B21" s="22"/>
      <c r="C21" s="22"/>
      <c r="D21" s="22"/>
      <c r="E21" s="22"/>
      <c r="F21" s="22"/>
      <c r="G21" s="22"/>
      <c r="H21" s="22"/>
      <c r="I21" s="22"/>
      <c r="J21" s="22"/>
      <c r="K21" s="22"/>
      <c r="L21" s="22"/>
      <c r="M21" s="22"/>
      <c r="N21" s="22"/>
      <c r="O21" s="22"/>
    </row>
    <row r="22" customFormat="false" ht="15" hidden="false" customHeight="true" outlineLevel="0" collapsed="false">
      <c r="A22" s="22" t="s">
        <v>105</v>
      </c>
      <c r="B22" s="22"/>
      <c r="C22" s="22"/>
      <c r="D22" s="22"/>
      <c r="E22" s="22"/>
      <c r="F22" s="22"/>
      <c r="G22" s="22"/>
      <c r="H22" s="22"/>
      <c r="I22" s="22"/>
      <c r="J22" s="22"/>
      <c r="K22" s="22"/>
      <c r="L22" s="22"/>
      <c r="M22" s="22"/>
      <c r="N22" s="22"/>
      <c r="O22" s="22"/>
    </row>
    <row r="23" customFormat="false" ht="15" hidden="false" customHeight="true" outlineLevel="0" collapsed="false">
      <c r="A23" s="22" t="s">
        <v>106</v>
      </c>
      <c r="B23" s="22"/>
      <c r="C23" s="22"/>
      <c r="D23" s="22"/>
      <c r="E23" s="22"/>
      <c r="F23" s="22"/>
      <c r="G23" s="22"/>
      <c r="H23" s="22"/>
      <c r="I23" s="22"/>
      <c r="J23" s="22"/>
      <c r="K23" s="22"/>
      <c r="L23" s="22"/>
      <c r="M23" s="22"/>
      <c r="N23" s="22"/>
      <c r="O23" s="22"/>
    </row>
  </sheetData>
  <mergeCells count="5">
    <mergeCell ref="A1:O1"/>
    <mergeCell ref="A20:O20"/>
    <mergeCell ref="A21:O21"/>
    <mergeCell ref="A22:O22"/>
    <mergeCell ref="A23:O23"/>
  </mergeCells>
  <conditionalFormatting sqref="K8:K16">
    <cfRule type="cellIs" priority="2" operator="equal" aboveAverage="0" equalAverage="0" bottom="0" percent="0" rank="0" text="" dxfId="0">
      <formula>"High Risk"</formula>
    </cfRule>
    <cfRule type="cellIs" priority="3" operator="equal" aboveAverage="0" equalAverage="0" bottom="0" percent="0" rank="0" text="" dxfId="2">
      <formula>"Medium Risk"</formula>
    </cfRule>
    <cfRule type="cellIs" priority="4" operator="equal" aboveAverage="0" equalAverage="0" bottom="0" percent="0" rank="0" text="" dxfId="1">
      <formula>"Low Risk"</formula>
    </cfRule>
  </conditionalFormatting>
  <conditionalFormatting sqref="M8:M16">
    <cfRule type="cellIs" priority="5" operator="equal" aboveAverage="0" equalAverage="0" bottom="0" percent="0" rank="0" text="" dxfId="0">
      <formula>"High Risk"</formula>
    </cfRule>
    <cfRule type="cellIs" priority="6" operator="equal" aboveAverage="0" equalAverage="0" bottom="0" percent="0" rank="0" text="" dxfId="2">
      <formula>"Medium Risk"</formula>
    </cfRule>
    <cfRule type="cellIs" priority="7" operator="equal" aboveAverage="0" equalAverage="0" bottom="0" percent="0" rank="0" text="" dxfId="1">
      <formula>"Low Risk"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G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22"/>
    <col collapsed="false" customWidth="true" hidden="false" outlineLevel="0" max="4" min="4" style="0" width="30"/>
    <col collapsed="false" customWidth="true" hidden="false" outlineLevel="0" max="5" min="5" style="0" width="16"/>
    <col collapsed="false" customWidth="true" hidden="false" outlineLevel="0" max="6" min="6" style="0" width="14"/>
    <col collapsed="false" customWidth="true" hidden="false" outlineLevel="0" max="7" min="7" style="0" width="34"/>
  </cols>
  <sheetData>
    <row r="1" customFormat="false" ht="25.5" hidden="false" customHeight="true" outlineLevel="0" collapsed="false">
      <c r="A1" s="1" t="s">
        <v>107</v>
      </c>
      <c r="B1" s="1"/>
      <c r="C1" s="1"/>
      <c r="D1" s="1"/>
      <c r="E1" s="1"/>
      <c r="F1" s="1"/>
      <c r="G1" s="1"/>
    </row>
    <row r="3" customFormat="false" ht="18" hidden="false" customHeight="true" outlineLevel="0" collapsed="false">
      <c r="A3" s="3" t="s">
        <v>108</v>
      </c>
      <c r="B3" s="3"/>
      <c r="C3" s="3"/>
      <c r="D3" s="3"/>
      <c r="E3" s="3"/>
      <c r="F3" s="3"/>
      <c r="G3" s="3"/>
    </row>
    <row r="4" customFormat="false" ht="30" hidden="false" customHeight="true" outlineLevel="0" collapsed="false">
      <c r="A4" s="8" t="s">
        <v>109</v>
      </c>
      <c r="B4" s="8" t="s">
        <v>110</v>
      </c>
      <c r="C4" s="8" t="s">
        <v>111</v>
      </c>
    </row>
    <row r="5" customFormat="false" ht="15" hidden="false" customHeight="false" outlineLevel="0" collapsed="false">
      <c r="A5" s="12" t="s">
        <v>55</v>
      </c>
      <c r="B5" s="12" t="s">
        <v>112</v>
      </c>
      <c r="C5" s="12" t="s">
        <v>113</v>
      </c>
    </row>
    <row r="6" customFormat="false" ht="15" hidden="false" customHeight="false" outlineLevel="0" collapsed="false">
      <c r="A6" s="12" t="s">
        <v>114</v>
      </c>
      <c r="B6" s="12" t="s">
        <v>114</v>
      </c>
      <c r="C6" s="12" t="s">
        <v>115</v>
      </c>
    </row>
    <row r="7" customFormat="false" ht="15" hidden="false" customHeight="false" outlineLevel="0" collapsed="false">
      <c r="A7" s="12" t="s">
        <v>50</v>
      </c>
      <c r="B7" s="12" t="s">
        <v>116</v>
      </c>
      <c r="C7" s="12" t="s">
        <v>117</v>
      </c>
    </row>
    <row r="8" customFormat="false" ht="18" hidden="false" customHeight="true" outlineLevel="0" collapsed="false">
      <c r="A8" s="3" t="s">
        <v>118</v>
      </c>
      <c r="B8" s="3"/>
      <c r="C8" s="3"/>
      <c r="D8" s="3"/>
      <c r="E8" s="3"/>
      <c r="F8" s="3"/>
      <c r="G8" s="3"/>
    </row>
    <row r="9" customFormat="false" ht="30" hidden="false" customHeight="true" outlineLevel="0" collapsed="false">
      <c r="A9" s="8" t="s">
        <v>33</v>
      </c>
      <c r="B9" s="8" t="s">
        <v>34</v>
      </c>
      <c r="C9" s="8" t="s">
        <v>87</v>
      </c>
      <c r="D9" s="8" t="s">
        <v>119</v>
      </c>
    </row>
    <row r="10" customFormat="false" ht="15" hidden="false" customHeight="false" outlineLevel="0" collapsed="false">
      <c r="A10" s="12" t="s">
        <v>48</v>
      </c>
      <c r="B10" s="12" t="s">
        <v>120</v>
      </c>
      <c r="C10" s="12" t="s">
        <v>121</v>
      </c>
      <c r="D10" s="12" t="s">
        <v>47</v>
      </c>
    </row>
    <row r="11" customFormat="false" ht="15" hidden="false" customHeight="false" outlineLevel="0" collapsed="false">
      <c r="A11" s="12" t="s">
        <v>100</v>
      </c>
      <c r="B11" s="12" t="s">
        <v>122</v>
      </c>
      <c r="C11" s="12" t="s">
        <v>123</v>
      </c>
      <c r="D11" s="12" t="s">
        <v>47</v>
      </c>
    </row>
    <row r="12" customFormat="false" ht="15" hidden="false" customHeight="false" outlineLevel="0" collapsed="false">
      <c r="A12" s="12" t="s">
        <v>101</v>
      </c>
      <c r="B12" s="12" t="s">
        <v>124</v>
      </c>
      <c r="C12" s="12" t="s">
        <v>121</v>
      </c>
      <c r="D12" s="12" t="s">
        <v>125</v>
      </c>
    </row>
    <row r="13" customFormat="false" ht="15" hidden="false" customHeight="false" outlineLevel="0" collapsed="false">
      <c r="A13" s="12" t="s">
        <v>59</v>
      </c>
      <c r="B13" s="12" t="s">
        <v>126</v>
      </c>
      <c r="C13" s="12" t="s">
        <v>127</v>
      </c>
      <c r="D13" s="12" t="s">
        <v>58</v>
      </c>
    </row>
    <row r="14" customFormat="false" ht="15" hidden="false" customHeight="false" outlineLevel="0" collapsed="false">
      <c r="A14" s="12" t="s">
        <v>65</v>
      </c>
      <c r="B14" s="12" t="s">
        <v>128</v>
      </c>
      <c r="C14" s="12" t="s">
        <v>123</v>
      </c>
      <c r="D14" s="12" t="s">
        <v>64</v>
      </c>
    </row>
    <row r="15" customFormat="false" ht="15" hidden="false" customHeight="false" outlineLevel="0" collapsed="false">
      <c r="A15" s="12" t="s">
        <v>102</v>
      </c>
      <c r="B15" s="12" t="s">
        <v>129</v>
      </c>
      <c r="C15" s="12" t="s">
        <v>127</v>
      </c>
      <c r="D15" s="12" t="s">
        <v>58</v>
      </c>
    </row>
    <row r="16" customFormat="false" ht="15" hidden="false" customHeight="false" outlineLevel="0" collapsed="false">
      <c r="A16" s="12" t="s">
        <v>70</v>
      </c>
      <c r="B16" s="12" t="s">
        <v>130</v>
      </c>
      <c r="C16" s="12" t="s">
        <v>131</v>
      </c>
      <c r="D16" s="12" t="s">
        <v>69</v>
      </c>
    </row>
    <row r="17" customFormat="false" ht="15" hidden="false" customHeight="false" outlineLevel="0" collapsed="false">
      <c r="A17" s="12" t="s">
        <v>74</v>
      </c>
      <c r="B17" s="12" t="s">
        <v>132</v>
      </c>
      <c r="C17" s="12" t="s">
        <v>121</v>
      </c>
      <c r="D17" s="12" t="s">
        <v>73</v>
      </c>
    </row>
    <row r="18" customFormat="false" ht="15" hidden="false" customHeight="false" outlineLevel="0" collapsed="false">
      <c r="A18" s="12" t="s">
        <v>54</v>
      </c>
      <c r="B18" s="12" t="s">
        <v>133</v>
      </c>
      <c r="C18" s="12" t="s">
        <v>123</v>
      </c>
      <c r="D18" s="12" t="s">
        <v>47</v>
      </c>
    </row>
    <row r="20" customFormat="false" ht="18" hidden="false" customHeight="true" outlineLevel="0" collapsed="false">
      <c r="A20" s="3" t="s">
        <v>134</v>
      </c>
      <c r="B20" s="3"/>
      <c r="C20" s="3"/>
      <c r="D20" s="3"/>
      <c r="E20" s="3"/>
      <c r="F20" s="3"/>
      <c r="G20" s="3"/>
    </row>
    <row r="21" customFormat="false" ht="30" hidden="false" customHeight="true" outlineLevel="0" collapsed="false">
      <c r="A21" s="8" t="s">
        <v>31</v>
      </c>
      <c r="B21" s="8" t="s">
        <v>111</v>
      </c>
      <c r="C21" s="8" t="s">
        <v>135</v>
      </c>
      <c r="D21" s="8" t="s">
        <v>136</v>
      </c>
      <c r="E21" s="8" t="s">
        <v>137</v>
      </c>
      <c r="F21" s="8" t="s">
        <v>138</v>
      </c>
      <c r="G21" s="8" t="s">
        <v>36</v>
      </c>
    </row>
    <row r="22" customFormat="false" ht="15" hidden="false" customHeight="false" outlineLevel="0" collapsed="false">
      <c r="A22" s="12" t="s">
        <v>47</v>
      </c>
      <c r="B22" s="12" t="s">
        <v>139</v>
      </c>
      <c r="C22" s="12" t="s">
        <v>140</v>
      </c>
      <c r="D22" s="12" t="s">
        <v>141</v>
      </c>
      <c r="E22" s="12" t="s">
        <v>142</v>
      </c>
      <c r="F22" s="28" t="n">
        <v>3</v>
      </c>
      <c r="G22" s="12" t="s">
        <v>143</v>
      </c>
    </row>
    <row r="23" customFormat="false" ht="15" hidden="false" customHeight="false" outlineLevel="0" collapsed="false">
      <c r="A23" s="12" t="s">
        <v>125</v>
      </c>
      <c r="B23" s="12" t="s">
        <v>144</v>
      </c>
      <c r="C23" s="12" t="s">
        <v>145</v>
      </c>
      <c r="D23" s="12" t="s">
        <v>101</v>
      </c>
      <c r="E23" s="12" t="s">
        <v>146</v>
      </c>
      <c r="F23" s="28" t="n">
        <v>2.5</v>
      </c>
      <c r="G23" s="12" t="s">
        <v>147</v>
      </c>
    </row>
    <row r="24" customFormat="false" ht="15" hidden="false" customHeight="false" outlineLevel="0" collapsed="false">
      <c r="A24" s="12" t="s">
        <v>58</v>
      </c>
      <c r="B24" s="12" t="s">
        <v>148</v>
      </c>
      <c r="C24" s="12" t="s">
        <v>149</v>
      </c>
      <c r="D24" s="12" t="s">
        <v>150</v>
      </c>
      <c r="E24" s="12" t="s">
        <v>151</v>
      </c>
      <c r="F24" s="28" t="n">
        <v>3</v>
      </c>
      <c r="G24" s="12" t="s">
        <v>152</v>
      </c>
    </row>
    <row r="25" customFormat="false" ht="15" hidden="false" customHeight="false" outlineLevel="0" collapsed="false">
      <c r="A25" s="12" t="s">
        <v>64</v>
      </c>
      <c r="B25" s="12" t="s">
        <v>153</v>
      </c>
      <c r="C25" s="12" t="s">
        <v>154</v>
      </c>
      <c r="D25" s="12" t="s">
        <v>65</v>
      </c>
      <c r="E25" s="12" t="s">
        <v>155</v>
      </c>
      <c r="F25" s="28" t="n">
        <v>2</v>
      </c>
      <c r="G25" s="12" t="s">
        <v>156</v>
      </c>
    </row>
    <row r="26" customFormat="false" ht="15" hidden="false" customHeight="false" outlineLevel="0" collapsed="false">
      <c r="A26" s="12" t="s">
        <v>69</v>
      </c>
      <c r="B26" s="12" t="s">
        <v>144</v>
      </c>
      <c r="C26" s="12" t="s">
        <v>145</v>
      </c>
      <c r="D26" s="12" t="s">
        <v>70</v>
      </c>
      <c r="E26" s="12" t="s">
        <v>157</v>
      </c>
      <c r="F26" s="28" t="n">
        <v>2</v>
      </c>
      <c r="G26" s="12" t="s">
        <v>158</v>
      </c>
    </row>
    <row r="27" customFormat="false" ht="15" hidden="false" customHeight="false" outlineLevel="0" collapsed="false">
      <c r="A27" s="12" t="s">
        <v>73</v>
      </c>
      <c r="B27" s="12" t="s">
        <v>159</v>
      </c>
      <c r="C27" s="12" t="s">
        <v>160</v>
      </c>
      <c r="D27" s="12" t="s">
        <v>74</v>
      </c>
      <c r="E27" s="12" t="s">
        <v>161</v>
      </c>
      <c r="F27" s="28" t="n">
        <v>4</v>
      </c>
      <c r="G27" s="12" t="s">
        <v>162</v>
      </c>
    </row>
    <row r="29" customFormat="false" ht="18" hidden="false" customHeight="true" outlineLevel="0" collapsed="false">
      <c r="A29" s="3" t="s">
        <v>163</v>
      </c>
      <c r="B29" s="3"/>
      <c r="C29" s="3"/>
      <c r="D29" s="3"/>
      <c r="E29" s="3"/>
      <c r="F29" s="3"/>
      <c r="G29" s="3"/>
    </row>
    <row r="30" customFormat="false" ht="30" hidden="false" customHeight="true" outlineLevel="0" collapsed="false">
      <c r="A30" s="8" t="s">
        <v>164</v>
      </c>
      <c r="B30" s="8" t="s">
        <v>165</v>
      </c>
      <c r="C30" s="8" t="s">
        <v>166</v>
      </c>
      <c r="D30" s="8" t="s">
        <v>167</v>
      </c>
      <c r="E30" s="8" t="s">
        <v>168</v>
      </c>
      <c r="F30" s="8" t="s">
        <v>169</v>
      </c>
    </row>
    <row r="31" customFormat="false" ht="15" hidden="false" customHeight="false" outlineLevel="0" collapsed="false">
      <c r="A31" s="12" t="s">
        <v>139</v>
      </c>
      <c r="B31" s="12" t="s">
        <v>55</v>
      </c>
      <c r="C31" s="29" t="n">
        <v>3</v>
      </c>
      <c r="D31" s="28" t="n">
        <v>5</v>
      </c>
      <c r="E31" s="30" t="n">
        <f aca="false">D31/7</f>
        <v>0.714285714285714</v>
      </c>
      <c r="F31" s="9" t="str">
        <f aca="false">A31&amp;"|"&amp;B31</f>
        <v>Shenzhen|US</v>
      </c>
    </row>
    <row r="32" customFormat="false" ht="15" hidden="false" customHeight="false" outlineLevel="0" collapsed="false">
      <c r="A32" s="12" t="s">
        <v>139</v>
      </c>
      <c r="B32" s="12" t="s">
        <v>114</v>
      </c>
      <c r="C32" s="29" t="n">
        <v>5</v>
      </c>
      <c r="D32" s="28" t="n">
        <v>7</v>
      </c>
      <c r="E32" s="30" t="n">
        <f aca="false">D32/7</f>
        <v>1</v>
      </c>
      <c r="F32" s="9" t="str">
        <f aca="false">A32&amp;"|"&amp;B32</f>
        <v>Shenzhen|UK</v>
      </c>
    </row>
    <row r="33" customFormat="false" ht="15" hidden="false" customHeight="false" outlineLevel="0" collapsed="false">
      <c r="A33" s="12" t="s">
        <v>139</v>
      </c>
      <c r="B33" s="12" t="s">
        <v>50</v>
      </c>
      <c r="C33" s="29" t="n">
        <v>0.285714285714286</v>
      </c>
      <c r="D33" s="28" t="n">
        <v>1</v>
      </c>
      <c r="E33" s="30" t="n">
        <f aca="false">D33/7</f>
        <v>0.142857142857143</v>
      </c>
      <c r="F33" s="9" t="str">
        <f aca="false">A33&amp;"|"&amp;B33</f>
        <v>Shenzhen|HK</v>
      </c>
    </row>
    <row r="34" customFormat="false" ht="15" hidden="false" customHeight="false" outlineLevel="0" collapsed="false">
      <c r="A34" s="12" t="s">
        <v>144</v>
      </c>
      <c r="B34" s="12" t="s">
        <v>55</v>
      </c>
      <c r="C34" s="29" t="n">
        <v>4.5</v>
      </c>
      <c r="D34" s="28" t="n">
        <v>6</v>
      </c>
      <c r="E34" s="30" t="n">
        <f aca="false">D34/7</f>
        <v>0.857142857142857</v>
      </c>
      <c r="F34" s="9" t="str">
        <f aca="false">A34&amp;"|"&amp;B34</f>
        <v>Chiang Mai|US</v>
      </c>
    </row>
    <row r="35" customFormat="false" ht="15" hidden="false" customHeight="false" outlineLevel="0" collapsed="false">
      <c r="A35" s="12" t="s">
        <v>144</v>
      </c>
      <c r="B35" s="12" t="s">
        <v>114</v>
      </c>
      <c r="C35" s="29" t="n">
        <v>4.5</v>
      </c>
      <c r="D35" s="28" t="n">
        <v>7</v>
      </c>
      <c r="E35" s="30" t="n">
        <f aca="false">D35/7</f>
        <v>1</v>
      </c>
      <c r="F35" s="9" t="str">
        <f aca="false">A35&amp;"|"&amp;B35</f>
        <v>Chiang Mai|UK</v>
      </c>
    </row>
    <row r="36" customFormat="false" ht="15" hidden="false" customHeight="false" outlineLevel="0" collapsed="false">
      <c r="A36" s="12" t="s">
        <v>144</v>
      </c>
      <c r="B36" s="12" t="s">
        <v>50</v>
      </c>
      <c r="C36" s="29" t="n">
        <v>4</v>
      </c>
      <c r="D36" s="28" t="n">
        <v>2</v>
      </c>
      <c r="E36" s="30" t="n">
        <f aca="false">D36/7</f>
        <v>0.285714285714286</v>
      </c>
      <c r="F36" s="9" t="str">
        <f aca="false">A36&amp;"|"&amp;B36</f>
        <v>Chiang Mai|HK</v>
      </c>
    </row>
    <row r="37" customFormat="false" ht="15" hidden="false" customHeight="false" outlineLevel="0" collapsed="false">
      <c r="A37" s="12" t="s">
        <v>148</v>
      </c>
      <c r="B37" s="12" t="s">
        <v>55</v>
      </c>
      <c r="C37" s="29" t="n">
        <v>4</v>
      </c>
      <c r="D37" s="28" t="n">
        <v>6</v>
      </c>
      <c r="E37" s="30" t="n">
        <f aca="false">D37/7</f>
        <v>0.857142857142857</v>
      </c>
      <c r="F37" s="9" t="str">
        <f aca="false">A37&amp;"|"&amp;B37</f>
        <v>Jakarta|US</v>
      </c>
    </row>
    <row r="38" customFormat="false" ht="15" hidden="false" customHeight="false" outlineLevel="0" collapsed="false">
      <c r="A38" s="12" t="s">
        <v>148</v>
      </c>
      <c r="B38" s="12" t="s">
        <v>114</v>
      </c>
      <c r="C38" s="29" t="n">
        <v>5</v>
      </c>
      <c r="D38" s="28" t="n">
        <v>7</v>
      </c>
      <c r="E38" s="30" t="n">
        <f aca="false">D38/7</f>
        <v>1</v>
      </c>
      <c r="F38" s="9" t="str">
        <f aca="false">A38&amp;"|"&amp;B38</f>
        <v>Jakarta|UK</v>
      </c>
    </row>
    <row r="39" customFormat="false" ht="15" hidden="false" customHeight="false" outlineLevel="0" collapsed="false">
      <c r="A39" s="12" t="s">
        <v>148</v>
      </c>
      <c r="B39" s="12" t="s">
        <v>50</v>
      </c>
      <c r="C39" s="29" t="n">
        <v>4</v>
      </c>
      <c r="D39" s="28" t="n">
        <v>2</v>
      </c>
      <c r="E39" s="30" t="n">
        <f aca="false">D39/7</f>
        <v>0.285714285714286</v>
      </c>
      <c r="F39" s="9" t="str">
        <f aca="false">A39&amp;"|"&amp;B39</f>
        <v>Jakarta|HK</v>
      </c>
    </row>
    <row r="40" customFormat="false" ht="15" hidden="false" customHeight="false" outlineLevel="0" collapsed="false">
      <c r="A40" s="12" t="s">
        <v>153</v>
      </c>
      <c r="B40" s="12" t="s">
        <v>55</v>
      </c>
      <c r="C40" s="29" t="n">
        <v>3</v>
      </c>
      <c r="D40" s="28" t="n">
        <v>4</v>
      </c>
      <c r="E40" s="30" t="n">
        <f aca="false">D40/7</f>
        <v>0.571428571428571</v>
      </c>
      <c r="F40" s="9" t="str">
        <f aca="false">A40&amp;"|"&amp;B40</f>
        <v>Taipei|US</v>
      </c>
    </row>
    <row r="41" customFormat="false" ht="15" hidden="false" customHeight="false" outlineLevel="0" collapsed="false">
      <c r="A41" s="12" t="s">
        <v>153</v>
      </c>
      <c r="B41" s="12" t="s">
        <v>114</v>
      </c>
      <c r="C41" s="29" t="n">
        <v>5</v>
      </c>
      <c r="D41" s="28" t="n">
        <v>6</v>
      </c>
      <c r="E41" s="30" t="n">
        <f aca="false">D41/7</f>
        <v>0.857142857142857</v>
      </c>
      <c r="F41" s="9" t="str">
        <f aca="false">A41&amp;"|"&amp;B41</f>
        <v>Taipei|UK</v>
      </c>
    </row>
    <row r="42" customFormat="false" ht="15" hidden="false" customHeight="false" outlineLevel="0" collapsed="false">
      <c r="A42" s="12" t="s">
        <v>153</v>
      </c>
      <c r="B42" s="12" t="s">
        <v>50</v>
      </c>
      <c r="C42" s="29" t="n">
        <v>0.285714285714286</v>
      </c>
      <c r="D42" s="28" t="n">
        <v>1</v>
      </c>
      <c r="E42" s="30" t="n">
        <f aca="false">D42/7</f>
        <v>0.142857142857143</v>
      </c>
      <c r="F42" s="9" t="str">
        <f aca="false">A42&amp;"|"&amp;B42</f>
        <v>Taipei|HK</v>
      </c>
    </row>
    <row r="43" customFormat="false" ht="15" hidden="false" customHeight="false" outlineLevel="0" collapsed="false">
      <c r="A43" s="12" t="s">
        <v>159</v>
      </c>
      <c r="B43" s="12" t="s">
        <v>55</v>
      </c>
      <c r="C43" s="29" t="n">
        <v>3.5</v>
      </c>
      <c r="D43" s="28" t="n">
        <v>5</v>
      </c>
      <c r="E43" s="30" t="n">
        <f aca="false">D43/7</f>
        <v>0.714285714285714</v>
      </c>
      <c r="F43" s="9" t="str">
        <f aca="false">A43&amp;"|"&amp;B43</f>
        <v>Ho Chi Minh City|US</v>
      </c>
    </row>
    <row r="44" customFormat="false" ht="15" hidden="false" customHeight="false" outlineLevel="0" collapsed="false">
      <c r="A44" s="12" t="s">
        <v>159</v>
      </c>
      <c r="B44" s="12" t="s">
        <v>114</v>
      </c>
      <c r="C44" s="29" t="n">
        <v>5</v>
      </c>
      <c r="D44" s="28" t="n">
        <v>7</v>
      </c>
      <c r="E44" s="30" t="n">
        <f aca="false">D44/7</f>
        <v>1</v>
      </c>
      <c r="F44" s="9" t="str">
        <f aca="false">A44&amp;"|"&amp;B44</f>
        <v>Ho Chi Minh City|UK</v>
      </c>
    </row>
    <row r="45" customFormat="false" ht="15" hidden="false" customHeight="false" outlineLevel="0" collapsed="false">
      <c r="A45" s="12" t="s">
        <v>159</v>
      </c>
      <c r="B45" s="12" t="s">
        <v>50</v>
      </c>
      <c r="C45" s="29" t="n">
        <v>3</v>
      </c>
      <c r="D45" s="28" t="n">
        <v>1</v>
      </c>
      <c r="E45" s="30" t="n">
        <f aca="false">D45/7</f>
        <v>0.142857142857143</v>
      </c>
      <c r="F45" s="9" t="str">
        <f aca="false">A45&amp;"|"&amp;B45</f>
        <v>Ho Chi Minh City|HK</v>
      </c>
    </row>
    <row r="47" customFormat="false" ht="15" hidden="false" customHeight="false" outlineLevel="0" collapsed="false">
      <c r="A47" s="21" t="s">
        <v>77</v>
      </c>
    </row>
    <row r="48" customFormat="false" ht="15" hidden="false" customHeight="true" outlineLevel="0" collapsed="false">
      <c r="A48" s="22" t="s">
        <v>170</v>
      </c>
      <c r="B48" s="22"/>
      <c r="C48" s="22"/>
      <c r="D48" s="22"/>
      <c r="E48" s="22"/>
      <c r="F48" s="22"/>
      <c r="G48" s="22"/>
    </row>
    <row r="49" customFormat="false" ht="15" hidden="false" customHeight="true" outlineLevel="0" collapsed="false">
      <c r="A49" s="22" t="s">
        <v>171</v>
      </c>
      <c r="B49" s="22"/>
      <c r="C49" s="22"/>
      <c r="D49" s="22"/>
      <c r="E49" s="22"/>
      <c r="F49" s="22"/>
      <c r="G49" s="22"/>
    </row>
    <row r="50" customFormat="false" ht="15" hidden="false" customHeight="true" outlineLevel="0" collapsed="false">
      <c r="A50" s="22" t="s">
        <v>172</v>
      </c>
      <c r="B50" s="22"/>
      <c r="C50" s="22"/>
      <c r="D50" s="22"/>
      <c r="E50" s="22"/>
      <c r="F50" s="22"/>
      <c r="G50" s="22"/>
    </row>
    <row r="51" customFormat="false" ht="15" hidden="false" customHeight="true" outlineLevel="0" collapsed="false">
      <c r="A51" s="22" t="s">
        <v>173</v>
      </c>
      <c r="B51" s="22"/>
      <c r="C51" s="22"/>
      <c r="D51" s="22"/>
      <c r="E51" s="22"/>
      <c r="F51" s="22"/>
      <c r="G51" s="22"/>
    </row>
    <row r="52" customFormat="false" ht="15" hidden="false" customHeight="true" outlineLevel="0" collapsed="false">
      <c r="A52" s="22" t="s">
        <v>174</v>
      </c>
      <c r="B52" s="22"/>
      <c r="C52" s="22"/>
      <c r="D52" s="22"/>
      <c r="E52" s="22"/>
      <c r="F52" s="22"/>
      <c r="G52" s="22"/>
    </row>
  </sheetData>
  <mergeCells count="10">
    <mergeCell ref="A1:G1"/>
    <mergeCell ref="A3:G3"/>
    <mergeCell ref="A8:G8"/>
    <mergeCell ref="A20:G20"/>
    <mergeCell ref="A29:G29"/>
    <mergeCell ref="A48:G48"/>
    <mergeCell ref="A49:G49"/>
    <mergeCell ref="A50:G50"/>
    <mergeCell ref="A51:G51"/>
    <mergeCell ref="A52:G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2026-08-10T03:08:43Z</dcterms:created>
  <dc:creator>openpyxl</dc:creator>
  <dc:description/>
  <dc:language>en-US</dc:language>
  <cp:lastModifiedBy/>
  <dcterms:modified xsi:type="dcterms:W3CDTF">2026-08-10T03:08:43Z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